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PRP_PROJECT_V3\citilink-report\static\tpl\"/>
    </mc:Choice>
  </mc:AlternateContent>
  <xr:revisionPtr revIDLastSave="0" documentId="13_ncr:1_{F5A4CC07-3807-403A-B32C-A32337C2637F}" xr6:coauthVersionLast="47" xr6:coauthVersionMax="47" xr10:uidLastSave="{00000000-0000-0000-0000-000000000000}"/>
  <bookViews>
    <workbookView xWindow="-120" yWindow="-120" windowWidth="20730" windowHeight="11760" tabRatio="612" xr2:uid="{00000000-000D-0000-FFFF-FFFF00000000}"/>
  </bookViews>
  <sheets>
    <sheet name="SRG-JT_S-25" sheetId="1" r:id="rId1"/>
  </sheets>
  <calcPr calcId="181029"/>
</workbook>
</file>

<file path=xl/calcChain.xml><?xml version="1.0" encoding="utf-8"?>
<calcChain xmlns="http://schemas.openxmlformats.org/spreadsheetml/2006/main">
  <c r="AS261" i="1" l="1"/>
  <c r="AS260" i="1"/>
  <c r="AS259" i="1"/>
  <c r="AS258" i="1"/>
  <c r="AS257" i="1"/>
  <c r="AS256" i="1"/>
  <c r="AS255" i="1"/>
  <c r="AS254" i="1"/>
  <c r="AS253" i="1"/>
  <c r="AS252" i="1"/>
  <c r="AS251" i="1"/>
  <c r="AS250" i="1"/>
  <c r="AS249" i="1"/>
  <c r="AS248" i="1"/>
  <c r="AS247" i="1"/>
  <c r="AS246" i="1"/>
  <c r="AS245" i="1"/>
  <c r="AS244" i="1"/>
  <c r="AS243" i="1"/>
  <c r="AS242" i="1"/>
  <c r="AS241" i="1"/>
  <c r="AS240" i="1"/>
  <c r="AS239" i="1"/>
  <c r="AS238" i="1"/>
  <c r="AS237" i="1"/>
  <c r="AS236" i="1"/>
  <c r="AS235" i="1"/>
  <c r="AS234" i="1"/>
  <c r="AS233" i="1"/>
  <c r="AS232" i="1"/>
  <c r="AS231" i="1"/>
  <c r="AS230" i="1"/>
  <c r="AS221" i="1"/>
  <c r="AS220" i="1"/>
  <c r="AS219" i="1"/>
  <c r="AS218" i="1"/>
  <c r="AS217" i="1"/>
  <c r="AS216" i="1"/>
  <c r="AS215" i="1"/>
  <c r="AS214" i="1"/>
  <c r="AS229" i="1"/>
  <c r="AS228" i="1"/>
  <c r="AS227" i="1"/>
  <c r="AS226" i="1"/>
  <c r="AS225" i="1"/>
  <c r="AS224" i="1"/>
  <c r="AS223" i="1"/>
  <c r="AS222" i="1"/>
  <c r="AS213" i="1"/>
  <c r="AS212" i="1"/>
  <c r="AS211" i="1"/>
  <c r="AS210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1" i="1"/>
  <c r="AS190" i="1"/>
  <c r="AS189" i="1"/>
  <c r="AS188" i="1"/>
  <c r="AS187" i="1"/>
  <c r="AS186" i="1"/>
  <c r="AS185" i="1"/>
  <c r="AS184" i="1"/>
  <c r="AS175" i="1"/>
  <c r="AS174" i="1"/>
  <c r="AS173" i="1"/>
  <c r="AS172" i="1"/>
  <c r="AS171" i="1"/>
  <c r="AS170" i="1"/>
  <c r="AS169" i="1"/>
  <c r="AS168" i="1"/>
  <c r="AS167" i="1"/>
  <c r="AS166" i="1"/>
  <c r="AS165" i="1"/>
  <c r="AS164" i="1"/>
  <c r="AS163" i="1"/>
  <c r="AS162" i="1"/>
  <c r="AS161" i="1"/>
  <c r="AS160" i="1"/>
  <c r="AS183" i="1"/>
  <c r="AS182" i="1"/>
  <c r="AS181" i="1"/>
  <c r="AS180" i="1"/>
  <c r="AS179" i="1"/>
  <c r="AS178" i="1"/>
  <c r="AS177" i="1"/>
  <c r="AS176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S131" i="1"/>
  <c r="AS130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8" i="1"/>
  <c r="AS9" i="1"/>
  <c r="AS10" i="1"/>
  <c r="AS11" i="1"/>
  <c r="AS13" i="1"/>
  <c r="AS12" i="1"/>
</calcChain>
</file>

<file path=xl/sharedStrings.xml><?xml version="1.0" encoding="utf-8"?>
<sst xmlns="http://schemas.openxmlformats.org/spreadsheetml/2006/main" count="297" uniqueCount="100">
  <si>
    <t>REALISASI PENERBANGAN PENETAPAN PELAKSANAAN RUTE PENERBANGAN (PPRP)</t>
  </si>
  <si>
    <t>PT CITILINK INDONESIA</t>
  </si>
  <si>
    <t>BANDAR UDARA INTERNASIONAL JUANDA - SURABAYA</t>
  </si>
  <si>
    <t>NO</t>
  </si>
  <si>
    <t>FLIGHT NUMBER</t>
  </si>
  <si>
    <t>PERIODE</t>
  </si>
  <si>
    <t>SURAT PPRP</t>
  </si>
  <si>
    <t>Day Of Flight</t>
  </si>
  <si>
    <t>Total Frekuensi Penerbangan</t>
  </si>
  <si>
    <t>Bulan-Tahun</t>
  </si>
  <si>
    <t xml:space="preserve">Tanggal </t>
  </si>
  <si>
    <t>Total Realisasi</t>
  </si>
  <si>
    <t>FLT NO</t>
  </si>
  <si>
    <t>TO</t>
  </si>
  <si>
    <t>ETD</t>
  </si>
  <si>
    <t>ETA</t>
  </si>
  <si>
    <t>ATD</t>
  </si>
  <si>
    <t>ATA</t>
  </si>
  <si>
    <t xml:space="preserve">Tipe Pengajuan </t>
  </si>
  <si>
    <t>QG-488</t>
  </si>
  <si>
    <t>SUB-BDJ</t>
  </si>
  <si>
    <t>Perpanjangan</t>
  </si>
  <si>
    <t>1234567</t>
  </si>
  <si>
    <t xml:space="preserve"> x penerbangan</t>
  </si>
  <si>
    <t>QG-486</t>
  </si>
  <si>
    <t>QG-494</t>
  </si>
  <si>
    <t>QG-460</t>
  </si>
  <si>
    <t>SUB-AAP</t>
  </si>
  <si>
    <t>Perubahan</t>
  </si>
  <si>
    <t>QG-434</t>
  </si>
  <si>
    <t>SUB-BPN</t>
  </si>
  <si>
    <t>QG-430</t>
  </si>
  <si>
    <t>QG-171</t>
  </si>
  <si>
    <t>SUB-CGK</t>
  </si>
  <si>
    <t>QG-175</t>
  </si>
  <si>
    <t>QG-727</t>
  </si>
  <si>
    <t>QG-717</t>
  </si>
  <si>
    <t>QG-725</t>
  </si>
  <si>
    <t>QG-723</t>
  </si>
  <si>
    <t>1004507</t>
  </si>
  <si>
    <t>QG-737</t>
  </si>
  <si>
    <t>QG-698</t>
  </si>
  <si>
    <t>SUB-DPS</t>
  </si>
  <si>
    <t>QG-693</t>
  </si>
  <si>
    <t>QG-668</t>
  </si>
  <si>
    <t>QG-173</t>
  </si>
  <si>
    <t>SUB-HLP</t>
  </si>
  <si>
    <t>QG-672</t>
  </si>
  <si>
    <t>SUB-LOP</t>
  </si>
  <si>
    <t>QG-670</t>
  </si>
  <si>
    <t>QG-456</t>
  </si>
  <si>
    <t>SUB-PKY</t>
  </si>
  <si>
    <t>QG-418</t>
  </si>
  <si>
    <t>SUB-PNK</t>
  </si>
  <si>
    <t>SUB-UPG</t>
  </si>
  <si>
    <t>QG-354</t>
  </si>
  <si>
    <t>QG-352</t>
  </si>
  <si>
    <t>QG-350</t>
  </si>
  <si>
    <t>QG-948</t>
  </si>
  <si>
    <t>SUB-BTH</t>
  </si>
  <si>
    <t>Keterangan Pengisisan :</t>
  </si>
  <si>
    <t xml:space="preserve">- </t>
  </si>
  <si>
    <t>=</t>
  </si>
  <si>
    <t xml:space="preserve">Diluar jadwal penerbangan </t>
  </si>
  <si>
    <t>Surabaya,  Januari 2026</t>
  </si>
  <si>
    <t>0</t>
  </si>
  <si>
    <t xml:space="preserve">Tidak Operasi/ No Ops </t>
  </si>
  <si>
    <t>1</t>
  </si>
  <si>
    <t xml:space="preserve">Beroperasi/ Ops </t>
  </si>
  <si>
    <t>PT. Citilink Indonesia</t>
  </si>
  <si>
    <t>(KK - SUB)</t>
  </si>
  <si>
    <t>........................................................................</t>
  </si>
  <si>
    <t xml:space="preserve">   No. ID. ........................</t>
  </si>
  <si>
    <t>QG-484</t>
  </si>
  <si>
    <t>Periode Summer 26 (S-26)</t>
  </si>
  <si>
    <t>Summer 26</t>
  </si>
  <si>
    <t>29 MAR 2026/24 OKT 2026</t>
  </si>
  <si>
    <t>AU.012/16/7/DRJU-DAU-2026</t>
  </si>
  <si>
    <t>Mei-26</t>
  </si>
  <si>
    <t>TIME SCHEDULE
(UTC)</t>
  </si>
  <si>
    <t>AU.012/16/10/DRJU-DAU-2026</t>
  </si>
  <si>
    <t>AU.012/16/9/DRJU-DAU-2026</t>
  </si>
  <si>
    <t>AU.012/29/19/DRJU-DAU-2026</t>
  </si>
  <si>
    <t>QG-739</t>
  </si>
  <si>
    <t>QG-719</t>
  </si>
  <si>
    <t>AU.012/29/21/DRJU-DAU-2026</t>
  </si>
  <si>
    <t>QG-692</t>
  </si>
  <si>
    <t>QG-696</t>
  </si>
  <si>
    <t>QG-177</t>
  </si>
  <si>
    <t>AU.012/25/4/DRJU-DAU-2026</t>
  </si>
  <si>
    <t>AU.012/29/7/DRJU-DAU-2026</t>
  </si>
  <si>
    <t>AU.012/10/20/DRJU-DAU-2026</t>
  </si>
  <si>
    <t>AU.012/10/19/DRJU-DAU-2026</t>
  </si>
  <si>
    <t>AU.012/29/2/DRJU-DAU-2026</t>
  </si>
  <si>
    <t>AU.012/29/5/DRJU-DAU-2026</t>
  </si>
  <si>
    <t>QG-179</t>
  </si>
  <si>
    <t>11 APR 2026/24OKT2026</t>
  </si>
  <si>
    <t>AU.012/31/3/DRJU-DAU-2026</t>
  </si>
  <si>
    <t>29 MAR 2026/23 OKT 2026</t>
  </si>
  <si>
    <t>ACTUAL TIME DEPT/ ARR
(Local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</si>
</sst>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Calibri"/>
      <charset val="134"/>
      <scheme val="minor"/>
    </font>
    <font>
      <b/>
      <sz val="14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Verdana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sz val="10"/>
      <name val="Calibri"/>
      <family val="2"/>
    </font>
    <font>
      <sz val="16"/>
      <name val="Arial"/>
      <family val="2"/>
    </font>
    <font>
      <sz val="11"/>
      <name val="Arial"/>
      <family val="2"/>
    </font>
    <font>
      <b/>
      <sz val="12"/>
      <name val="Calibri"/>
      <family val="2"/>
    </font>
    <font>
      <b/>
      <u/>
      <sz val="11"/>
      <name val="Calibri"/>
      <family val="2"/>
    </font>
    <font>
      <u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sz val="1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2">
    <xf numFmtId="0" fontId="0" fillId="0" borderId="0" xfId="0"/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1" fillId="4" borderId="1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9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5" borderId="0" xfId="0" quotePrefix="1" applyFont="1" applyFill="1" applyAlignment="1">
      <alignment horizontal="center"/>
    </xf>
    <xf numFmtId="0" fontId="4" fillId="0" borderId="0" xfId="0" quotePrefix="1" applyFont="1" applyAlignment="1">
      <alignment horizontal="center"/>
    </xf>
    <xf numFmtId="0" fontId="8" fillId="0" borderId="5" xfId="0" applyFont="1" applyBorder="1" applyAlignment="1">
      <alignment horizontal="center" vertical="center"/>
    </xf>
    <xf numFmtId="17" fontId="6" fillId="0" borderId="5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7" fontId="15" fillId="0" borderId="5" xfId="0" applyNumberFormat="1" applyFont="1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20" fontId="4" fillId="0" borderId="6" xfId="0" applyNumberFormat="1" applyFont="1" applyBorder="1" applyAlignment="1">
      <alignment horizontal="center" vertical="center"/>
    </xf>
    <xf numFmtId="20" fontId="4" fillId="0" borderId="7" xfId="0" applyNumberFormat="1" applyFont="1" applyBorder="1" applyAlignment="1">
      <alignment horizontal="center" vertical="center"/>
    </xf>
    <xf numFmtId="20" fontId="4" fillId="0" borderId="8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5" fillId="0" borderId="6" xfId="1" applyBorder="1" applyAlignment="1">
      <alignment horizontal="center" vertical="center"/>
    </xf>
    <xf numFmtId="0" fontId="5" fillId="0" borderId="7" xfId="1" applyBorder="1" applyAlignment="1">
      <alignment horizontal="center" vertical="center"/>
    </xf>
    <xf numFmtId="0" fontId="5" fillId="0" borderId="8" xfId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8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4" xfId="0" applyFont="1" applyBorder="1"/>
    <xf numFmtId="0" fontId="3" fillId="0" borderId="5" xfId="0" applyFont="1" applyBorder="1" applyAlignment="1">
      <alignment horizontal="center" vertical="center" wrapText="1"/>
    </xf>
    <xf numFmtId="17" fontId="7" fillId="5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17" fontId="6" fillId="5" borderId="5" xfId="0" applyNumberFormat="1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318"/>
  <sheetViews>
    <sheetView tabSelected="1" topLeftCell="D1" zoomScale="70" zoomScaleNormal="70" workbookViewId="0">
      <selection activeCell="H8" sqref="H8:H15"/>
    </sheetView>
  </sheetViews>
  <sheetFormatPr defaultColWidth="14.42578125" defaultRowHeight="15" customHeight="1"/>
  <cols>
    <col min="1" max="1" width="4.85546875" customWidth="1"/>
    <col min="2" max="2" width="8.5703125" customWidth="1"/>
    <col min="3" max="3" width="10.85546875" customWidth="1"/>
    <col min="4" max="4" width="8.7109375" customWidth="1"/>
    <col min="5" max="5" width="8.140625" customWidth="1"/>
    <col min="6" max="6" width="14.5703125" customWidth="1"/>
    <col min="7" max="7" width="14.7109375" customWidth="1"/>
    <col min="8" max="8" width="27.42578125" customWidth="1"/>
    <col min="9" max="9" width="31.85546875" customWidth="1"/>
    <col min="10" max="10" width="14.5703125" customWidth="1"/>
    <col min="11" max="11" width="9" customWidth="1"/>
    <col min="12" max="12" width="15.140625" customWidth="1"/>
    <col min="13" max="13" width="10.140625" customWidth="1"/>
    <col min="14" max="14" width="4" customWidth="1"/>
    <col min="15" max="15" width="3.85546875" customWidth="1"/>
    <col min="16" max="17" width="3.5703125" customWidth="1"/>
    <col min="18" max="18" width="3.85546875" customWidth="1"/>
    <col min="19" max="19" width="3.5703125" customWidth="1"/>
    <col min="20" max="21" width="4" customWidth="1"/>
    <col min="22" max="22" width="3.42578125" customWidth="1"/>
    <col min="23" max="23" width="4.140625" customWidth="1"/>
    <col min="24" max="24" width="3.5703125" customWidth="1"/>
    <col min="25" max="25" width="4.140625" customWidth="1"/>
    <col min="26" max="26" width="3.85546875" customWidth="1"/>
    <col min="27" max="27" width="4.140625" customWidth="1"/>
    <col min="28" max="28" width="3.85546875" customWidth="1"/>
    <col min="29" max="30" width="4" customWidth="1"/>
    <col min="31" max="31" width="3.85546875" customWidth="1"/>
    <col min="32" max="32" width="4.140625" customWidth="1"/>
    <col min="33" max="37" width="4.42578125" customWidth="1"/>
    <col min="38" max="38" width="4.5703125" customWidth="1"/>
    <col min="39" max="39" width="4.42578125" customWidth="1"/>
    <col min="40" max="43" width="4.5703125" customWidth="1"/>
    <col min="44" max="44" width="4.140625" customWidth="1"/>
    <col min="45" max="45" width="11.5703125" customWidth="1"/>
    <col min="46" max="46" width="5.7109375" hidden="1" customWidth="1"/>
    <col min="47" max="47" width="5" customWidth="1"/>
    <col min="48" max="49" width="5.85546875" customWidth="1"/>
  </cols>
  <sheetData>
    <row r="1" spans="1:49" ht="24.75" customHeigh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1"/>
      <c r="AV1" s="2"/>
      <c r="AW1" s="2"/>
    </row>
    <row r="2" spans="1:49" ht="24.75" customHeight="1">
      <c r="A2" s="57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1"/>
      <c r="AV2" s="2"/>
      <c r="AW2" s="2"/>
    </row>
    <row r="3" spans="1:49" ht="24.75" customHeight="1">
      <c r="A3" s="59" t="s">
        <v>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1"/>
      <c r="AV3" s="2"/>
      <c r="AW3" s="2"/>
    </row>
    <row r="4" spans="1:49" ht="24.75" customHeight="1">
      <c r="A4" s="59" t="s">
        <v>74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3"/>
      <c r="AV4" s="4"/>
      <c r="AW4" s="4"/>
    </row>
    <row r="5" spans="1:49" ht="15.75" customHeight="1" thickBot="1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3"/>
      <c r="AV5" s="5"/>
      <c r="AW5" s="5"/>
    </row>
    <row r="6" spans="1:49" ht="42.75" customHeight="1">
      <c r="A6" s="66" t="s">
        <v>3</v>
      </c>
      <c r="B6" s="64" t="s">
        <v>4</v>
      </c>
      <c r="C6" s="56"/>
      <c r="D6" s="64" t="s">
        <v>79</v>
      </c>
      <c r="E6" s="56"/>
      <c r="F6" s="55" t="s">
        <v>99</v>
      </c>
      <c r="G6" s="56"/>
      <c r="H6" s="24" t="s">
        <v>5</v>
      </c>
      <c r="I6" s="55" t="s">
        <v>6</v>
      </c>
      <c r="J6" s="56"/>
      <c r="K6" s="55" t="s">
        <v>7</v>
      </c>
      <c r="L6" s="69" t="s">
        <v>8</v>
      </c>
      <c r="M6" s="67" t="s">
        <v>9</v>
      </c>
      <c r="N6" s="65" t="s">
        <v>10</v>
      </c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68" t="s">
        <v>11</v>
      </c>
      <c r="AT6" s="6"/>
      <c r="AV6" s="5"/>
      <c r="AW6" s="5"/>
    </row>
    <row r="7" spans="1:49" ht="33" customHeight="1" thickBot="1">
      <c r="A7" s="56"/>
      <c r="B7" s="25" t="s">
        <v>12</v>
      </c>
      <c r="C7" s="25" t="s">
        <v>13</v>
      </c>
      <c r="D7" s="25" t="s">
        <v>14</v>
      </c>
      <c r="E7" s="25" t="s">
        <v>15</v>
      </c>
      <c r="F7" s="24" t="s">
        <v>16</v>
      </c>
      <c r="G7" s="24" t="s">
        <v>17</v>
      </c>
      <c r="H7" s="24" t="s">
        <v>75</v>
      </c>
      <c r="I7" s="24" t="s">
        <v>3</v>
      </c>
      <c r="J7" s="24" t="s">
        <v>18</v>
      </c>
      <c r="K7" s="56"/>
      <c r="L7" s="56"/>
      <c r="M7" s="56"/>
      <c r="N7" s="26">
        <v>1</v>
      </c>
      <c r="O7" s="26">
        <v>2</v>
      </c>
      <c r="P7" s="26">
        <v>3</v>
      </c>
      <c r="Q7" s="26">
        <v>4</v>
      </c>
      <c r="R7" s="26">
        <v>5</v>
      </c>
      <c r="S7" s="26">
        <v>6</v>
      </c>
      <c r="T7" s="26">
        <v>7</v>
      </c>
      <c r="U7" s="26">
        <v>8</v>
      </c>
      <c r="V7" s="26">
        <v>9</v>
      </c>
      <c r="W7" s="26">
        <v>10</v>
      </c>
      <c r="X7" s="26">
        <v>11</v>
      </c>
      <c r="Y7" s="26">
        <v>12</v>
      </c>
      <c r="Z7" s="26">
        <v>13</v>
      </c>
      <c r="AA7" s="26">
        <v>14</v>
      </c>
      <c r="AB7" s="26">
        <v>15</v>
      </c>
      <c r="AC7" s="26">
        <v>16</v>
      </c>
      <c r="AD7" s="26">
        <v>17</v>
      </c>
      <c r="AE7" s="26">
        <v>18</v>
      </c>
      <c r="AF7" s="26">
        <v>19</v>
      </c>
      <c r="AG7" s="26">
        <v>20</v>
      </c>
      <c r="AH7" s="26">
        <v>21</v>
      </c>
      <c r="AI7" s="26">
        <v>22</v>
      </c>
      <c r="AJ7" s="26">
        <v>23</v>
      </c>
      <c r="AK7" s="26">
        <v>24</v>
      </c>
      <c r="AL7" s="26">
        <v>25</v>
      </c>
      <c r="AM7" s="26">
        <v>26</v>
      </c>
      <c r="AN7" s="26">
        <v>27</v>
      </c>
      <c r="AO7" s="26">
        <v>28</v>
      </c>
      <c r="AP7" s="26">
        <v>29</v>
      </c>
      <c r="AQ7" s="26">
        <v>30</v>
      </c>
      <c r="AR7" s="26">
        <v>31</v>
      </c>
      <c r="AS7" s="56"/>
      <c r="AT7" s="7"/>
      <c r="AV7" s="5"/>
      <c r="AW7" s="5"/>
    </row>
    <row r="8" spans="1:49" ht="24.75" customHeight="1">
      <c r="A8" s="46">
        <v>1</v>
      </c>
      <c r="B8" s="34" t="s">
        <v>19</v>
      </c>
      <c r="C8" s="34" t="s">
        <v>20</v>
      </c>
      <c r="D8" s="31">
        <v>0.38541666666666669</v>
      </c>
      <c r="E8" s="31">
        <v>0.4375</v>
      </c>
      <c r="F8" s="31"/>
      <c r="G8" s="31"/>
      <c r="H8" s="52" t="s">
        <v>76</v>
      </c>
      <c r="I8" s="52" t="s">
        <v>77</v>
      </c>
      <c r="J8" s="34" t="s">
        <v>21</v>
      </c>
      <c r="K8" s="40" t="s">
        <v>22</v>
      </c>
      <c r="L8" s="43" t="s">
        <v>23</v>
      </c>
      <c r="M8" s="27">
        <v>46082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3">
        <f>SUM(N8:AR8)</f>
        <v>0</v>
      </c>
      <c r="AT8" s="8"/>
      <c r="AU8" s="9"/>
      <c r="AV8" s="5"/>
      <c r="AW8" s="5"/>
    </row>
    <row r="9" spans="1:49" ht="24.75" customHeight="1">
      <c r="A9" s="47"/>
      <c r="B9" s="35"/>
      <c r="C9" s="35"/>
      <c r="D9" s="32"/>
      <c r="E9" s="32"/>
      <c r="F9" s="32"/>
      <c r="G9" s="32"/>
      <c r="H9" s="53"/>
      <c r="I9" s="53"/>
      <c r="J9" s="35"/>
      <c r="K9" s="41"/>
      <c r="L9" s="44"/>
      <c r="M9" s="27">
        <v>46116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3">
        <f t="shared" ref="AS9:AS11" si="0">SUM(N9:AR9)</f>
        <v>0</v>
      </c>
      <c r="AT9" s="10"/>
      <c r="AU9" s="9"/>
      <c r="AV9" s="5"/>
      <c r="AW9" s="5"/>
    </row>
    <row r="10" spans="1:49" ht="24.75" customHeight="1">
      <c r="A10" s="47"/>
      <c r="B10" s="35"/>
      <c r="C10" s="35"/>
      <c r="D10" s="32"/>
      <c r="E10" s="32"/>
      <c r="F10" s="32"/>
      <c r="G10" s="32"/>
      <c r="H10" s="53"/>
      <c r="I10" s="53"/>
      <c r="J10" s="35"/>
      <c r="K10" s="41"/>
      <c r="L10" s="44"/>
      <c r="M10" s="22" t="s">
        <v>78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3">
        <f t="shared" si="0"/>
        <v>0</v>
      </c>
      <c r="AT10" s="10"/>
      <c r="AU10" s="9"/>
      <c r="AV10" s="5"/>
      <c r="AW10" s="5"/>
    </row>
    <row r="11" spans="1:49" ht="24.75" customHeight="1">
      <c r="A11" s="47"/>
      <c r="B11" s="35"/>
      <c r="C11" s="35"/>
      <c r="D11" s="32"/>
      <c r="E11" s="32"/>
      <c r="F11" s="32"/>
      <c r="G11" s="32"/>
      <c r="H11" s="53"/>
      <c r="I11" s="53"/>
      <c r="J11" s="35"/>
      <c r="K11" s="41"/>
      <c r="L11" s="44"/>
      <c r="M11" s="27">
        <v>46174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30"/>
      <c r="AN11" s="28"/>
      <c r="AO11" s="28"/>
      <c r="AP11" s="28"/>
      <c r="AQ11" s="28"/>
      <c r="AR11" s="28"/>
      <c r="AS11" s="23">
        <f t="shared" si="0"/>
        <v>0</v>
      </c>
      <c r="AT11" s="11"/>
      <c r="AU11" s="9"/>
      <c r="AV11" s="12"/>
      <c r="AW11" s="12"/>
    </row>
    <row r="12" spans="1:49" ht="24.75" customHeight="1">
      <c r="A12" s="47"/>
      <c r="B12" s="35"/>
      <c r="C12" s="35"/>
      <c r="D12" s="32"/>
      <c r="E12" s="32"/>
      <c r="F12" s="32"/>
      <c r="G12" s="32"/>
      <c r="H12" s="53"/>
      <c r="I12" s="53"/>
      <c r="J12" s="35"/>
      <c r="K12" s="41"/>
      <c r="L12" s="44"/>
      <c r="M12" s="22">
        <v>46204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30"/>
      <c r="AN12" s="21"/>
      <c r="AO12" s="21"/>
      <c r="AP12" s="21"/>
      <c r="AQ12" s="21"/>
      <c r="AR12" s="21"/>
      <c r="AS12" s="23">
        <f>SUM(N12:AR12)</f>
        <v>0</v>
      </c>
      <c r="AT12" s="11"/>
      <c r="AU12" s="9"/>
      <c r="AV12" s="12"/>
      <c r="AW12" s="12"/>
    </row>
    <row r="13" spans="1:49" ht="24.75" customHeight="1">
      <c r="A13" s="47"/>
      <c r="B13" s="35"/>
      <c r="C13" s="35"/>
      <c r="D13" s="32"/>
      <c r="E13" s="32"/>
      <c r="F13" s="32"/>
      <c r="G13" s="32"/>
      <c r="H13" s="53"/>
      <c r="I13" s="53"/>
      <c r="J13" s="35"/>
      <c r="K13" s="41"/>
      <c r="L13" s="44"/>
      <c r="M13" s="22">
        <v>46235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30"/>
      <c r="AN13" s="21"/>
      <c r="AO13" s="21"/>
      <c r="AP13" s="21"/>
      <c r="AQ13" s="21"/>
      <c r="AR13" s="21"/>
      <c r="AS13" s="23">
        <f>SUM(N13:AR13)</f>
        <v>0</v>
      </c>
      <c r="AT13" s="11"/>
      <c r="AU13" s="9"/>
      <c r="AV13" s="12"/>
      <c r="AW13" s="12"/>
    </row>
    <row r="14" spans="1:49" ht="24.75" customHeight="1">
      <c r="A14" s="47"/>
      <c r="B14" s="35"/>
      <c r="C14" s="35"/>
      <c r="D14" s="32"/>
      <c r="E14" s="32"/>
      <c r="F14" s="32"/>
      <c r="G14" s="32"/>
      <c r="H14" s="53"/>
      <c r="I14" s="53"/>
      <c r="J14" s="35"/>
      <c r="K14" s="41"/>
      <c r="L14" s="44"/>
      <c r="M14" s="22">
        <v>46266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3">
        <f>SUM(N14:AQ14)</f>
        <v>0</v>
      </c>
      <c r="AT14" s="11"/>
      <c r="AU14" s="9"/>
      <c r="AV14" s="12"/>
      <c r="AW14" s="12"/>
    </row>
    <row r="15" spans="1:49" ht="24.75" customHeight="1" thickBot="1">
      <c r="A15" s="48"/>
      <c r="B15" s="36"/>
      <c r="C15" s="36"/>
      <c r="D15" s="33"/>
      <c r="E15" s="33"/>
      <c r="F15" s="33"/>
      <c r="G15" s="33"/>
      <c r="H15" s="54"/>
      <c r="I15" s="54"/>
      <c r="J15" s="36"/>
      <c r="K15" s="42"/>
      <c r="L15" s="45"/>
      <c r="M15" s="22">
        <v>46296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29">
        <f>SUM(N15:AR15)</f>
        <v>0</v>
      </c>
      <c r="AT15" s="11"/>
      <c r="AU15" s="9"/>
      <c r="AV15" s="12"/>
      <c r="AW15" s="12"/>
    </row>
    <row r="16" spans="1:49" ht="24.75" customHeight="1">
      <c r="A16" s="46">
        <v>2</v>
      </c>
      <c r="B16" s="34" t="s">
        <v>24</v>
      </c>
      <c r="C16" s="34" t="s">
        <v>20</v>
      </c>
      <c r="D16" s="31">
        <v>9.7222222222222224E-2</v>
      </c>
      <c r="E16" s="31">
        <v>0.14583333333333334</v>
      </c>
      <c r="F16" s="31"/>
      <c r="G16" s="31"/>
      <c r="H16" s="52" t="s">
        <v>76</v>
      </c>
      <c r="I16" s="34" t="s">
        <v>77</v>
      </c>
      <c r="J16" s="34" t="s">
        <v>21</v>
      </c>
      <c r="K16" s="40" t="s">
        <v>22</v>
      </c>
      <c r="L16" s="43" t="s">
        <v>23</v>
      </c>
      <c r="M16" s="27">
        <v>46082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3">
        <f>SUM(N16:AR16)</f>
        <v>0</v>
      </c>
      <c r="AT16" s="13"/>
      <c r="AU16" s="9"/>
      <c r="AV16" s="5"/>
      <c r="AW16" s="5"/>
    </row>
    <row r="17" spans="1:49" ht="24.75" customHeight="1">
      <c r="A17" s="47"/>
      <c r="B17" s="35"/>
      <c r="C17" s="35"/>
      <c r="D17" s="32"/>
      <c r="E17" s="32"/>
      <c r="F17" s="32"/>
      <c r="G17" s="32"/>
      <c r="H17" s="53"/>
      <c r="I17" s="35"/>
      <c r="J17" s="35"/>
      <c r="K17" s="41"/>
      <c r="L17" s="44"/>
      <c r="M17" s="27">
        <v>46116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3">
        <f t="shared" ref="AS17:AS19" si="1">SUM(N17:AR17)</f>
        <v>0</v>
      </c>
      <c r="AT17" s="11"/>
      <c r="AU17" s="9"/>
      <c r="AV17" s="5"/>
      <c r="AW17" s="5"/>
    </row>
    <row r="18" spans="1:49" ht="24.75" customHeight="1">
      <c r="A18" s="47"/>
      <c r="B18" s="35"/>
      <c r="C18" s="35"/>
      <c r="D18" s="32"/>
      <c r="E18" s="32"/>
      <c r="F18" s="32"/>
      <c r="G18" s="32"/>
      <c r="H18" s="53"/>
      <c r="I18" s="35"/>
      <c r="J18" s="35"/>
      <c r="K18" s="41"/>
      <c r="L18" s="44"/>
      <c r="M18" s="22" t="s">
        <v>78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3">
        <f t="shared" si="1"/>
        <v>0</v>
      </c>
      <c r="AT18" s="11"/>
      <c r="AU18" s="9"/>
      <c r="AV18" s="5"/>
      <c r="AW18" s="5"/>
    </row>
    <row r="19" spans="1:49" ht="24.75" customHeight="1">
      <c r="A19" s="47"/>
      <c r="B19" s="35"/>
      <c r="C19" s="35"/>
      <c r="D19" s="32"/>
      <c r="E19" s="32"/>
      <c r="F19" s="32"/>
      <c r="G19" s="32"/>
      <c r="H19" s="53"/>
      <c r="I19" s="35"/>
      <c r="J19" s="35"/>
      <c r="K19" s="41"/>
      <c r="L19" s="44"/>
      <c r="M19" s="27">
        <v>46174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30"/>
      <c r="AN19" s="28"/>
      <c r="AO19" s="28"/>
      <c r="AP19" s="28"/>
      <c r="AQ19" s="28"/>
      <c r="AR19" s="28"/>
      <c r="AS19" s="23">
        <f t="shared" si="1"/>
        <v>0</v>
      </c>
      <c r="AT19" s="11"/>
      <c r="AU19" s="9"/>
      <c r="AV19" s="5"/>
      <c r="AW19" s="5"/>
    </row>
    <row r="20" spans="1:49" ht="24.75" customHeight="1">
      <c r="A20" s="47"/>
      <c r="B20" s="35"/>
      <c r="C20" s="35"/>
      <c r="D20" s="32"/>
      <c r="E20" s="32"/>
      <c r="F20" s="32"/>
      <c r="G20" s="32"/>
      <c r="H20" s="53"/>
      <c r="I20" s="35"/>
      <c r="J20" s="35"/>
      <c r="K20" s="41"/>
      <c r="L20" s="44"/>
      <c r="M20" s="22">
        <v>46204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30"/>
      <c r="AN20" s="21"/>
      <c r="AO20" s="21"/>
      <c r="AP20" s="21"/>
      <c r="AQ20" s="21"/>
      <c r="AR20" s="21"/>
      <c r="AS20" s="23">
        <f>SUM(N20:AR20)</f>
        <v>0</v>
      </c>
      <c r="AT20" s="11"/>
      <c r="AU20" s="9"/>
      <c r="AV20" s="5"/>
      <c r="AW20" s="5"/>
    </row>
    <row r="21" spans="1:49" ht="24.75" customHeight="1">
      <c r="A21" s="47"/>
      <c r="B21" s="35"/>
      <c r="C21" s="35"/>
      <c r="D21" s="32"/>
      <c r="E21" s="32"/>
      <c r="F21" s="32"/>
      <c r="G21" s="32"/>
      <c r="H21" s="53"/>
      <c r="I21" s="35"/>
      <c r="J21" s="35"/>
      <c r="K21" s="41"/>
      <c r="L21" s="44"/>
      <c r="M21" s="22">
        <v>46235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30"/>
      <c r="AN21" s="21"/>
      <c r="AO21" s="21"/>
      <c r="AP21" s="21"/>
      <c r="AQ21" s="21"/>
      <c r="AR21" s="21"/>
      <c r="AS21" s="23">
        <f>SUM(N21:AR21)</f>
        <v>0</v>
      </c>
      <c r="AT21" s="11"/>
      <c r="AU21" s="9"/>
      <c r="AV21" s="5"/>
      <c r="AW21" s="5"/>
    </row>
    <row r="22" spans="1:49" ht="24.75" customHeight="1">
      <c r="A22" s="47"/>
      <c r="B22" s="35"/>
      <c r="C22" s="35"/>
      <c r="D22" s="32"/>
      <c r="E22" s="32"/>
      <c r="F22" s="32"/>
      <c r="G22" s="32"/>
      <c r="H22" s="53"/>
      <c r="I22" s="35"/>
      <c r="J22" s="35"/>
      <c r="K22" s="41"/>
      <c r="L22" s="44"/>
      <c r="M22" s="22">
        <v>46266</v>
      </c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3">
        <f>SUM(N22:AQ22)</f>
        <v>0</v>
      </c>
      <c r="AT22" s="11"/>
      <c r="AU22" s="9"/>
      <c r="AV22" s="5"/>
      <c r="AW22" s="5"/>
    </row>
    <row r="23" spans="1:49" ht="24.75" customHeight="1">
      <c r="A23" s="48"/>
      <c r="B23" s="36"/>
      <c r="C23" s="36"/>
      <c r="D23" s="33"/>
      <c r="E23" s="33"/>
      <c r="F23" s="33"/>
      <c r="G23" s="33"/>
      <c r="H23" s="54"/>
      <c r="I23" s="36"/>
      <c r="J23" s="36"/>
      <c r="K23" s="42"/>
      <c r="L23" s="45"/>
      <c r="M23" s="22">
        <v>46296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29">
        <f>SUM(N23:AR23)</f>
        <v>0</v>
      </c>
      <c r="AT23" s="11"/>
      <c r="AU23" s="9"/>
      <c r="AV23" s="5"/>
      <c r="AW23" s="5"/>
    </row>
    <row r="24" spans="1:49" ht="24.75" customHeight="1">
      <c r="A24" s="46">
        <v>3</v>
      </c>
      <c r="B24" s="34" t="s">
        <v>73</v>
      </c>
      <c r="C24" s="34" t="s">
        <v>20</v>
      </c>
      <c r="D24" s="31">
        <v>0.95486111111111116</v>
      </c>
      <c r="E24" s="31">
        <v>6.9444444444444441E-3</v>
      </c>
      <c r="F24" s="31"/>
      <c r="G24" s="31"/>
      <c r="H24" s="52" t="s">
        <v>76</v>
      </c>
      <c r="I24" s="52" t="s">
        <v>77</v>
      </c>
      <c r="J24" s="34" t="s">
        <v>21</v>
      </c>
      <c r="K24" s="40" t="s">
        <v>22</v>
      </c>
      <c r="L24" s="43" t="s">
        <v>23</v>
      </c>
      <c r="M24" s="27">
        <v>46082</v>
      </c>
      <c r="N24" s="21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3">
        <f>SUM(N24:AR24)</f>
        <v>0</v>
      </c>
      <c r="AT24" s="11"/>
      <c r="AU24" s="9"/>
      <c r="AV24" s="5"/>
      <c r="AW24" s="5"/>
    </row>
    <row r="25" spans="1:49" ht="24.75" customHeight="1">
      <c r="A25" s="47"/>
      <c r="B25" s="35"/>
      <c r="C25" s="35"/>
      <c r="D25" s="32"/>
      <c r="E25" s="32"/>
      <c r="F25" s="32"/>
      <c r="G25" s="32"/>
      <c r="H25" s="53"/>
      <c r="I25" s="53"/>
      <c r="J25" s="35"/>
      <c r="K25" s="41"/>
      <c r="L25" s="44"/>
      <c r="M25" s="27">
        <v>46116</v>
      </c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3">
        <f t="shared" ref="AS25:AS27" si="2">SUM(N25:AR25)</f>
        <v>0</v>
      </c>
      <c r="AT25" s="11"/>
      <c r="AU25" s="9"/>
      <c r="AV25" s="5"/>
      <c r="AW25" s="5"/>
    </row>
    <row r="26" spans="1:49" ht="24.75" customHeight="1">
      <c r="A26" s="47"/>
      <c r="B26" s="35"/>
      <c r="C26" s="35"/>
      <c r="D26" s="32"/>
      <c r="E26" s="32"/>
      <c r="F26" s="32"/>
      <c r="G26" s="32"/>
      <c r="H26" s="53"/>
      <c r="I26" s="53"/>
      <c r="J26" s="35"/>
      <c r="K26" s="41"/>
      <c r="L26" s="44"/>
      <c r="M26" s="22" t="s">
        <v>78</v>
      </c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3">
        <f t="shared" si="2"/>
        <v>0</v>
      </c>
      <c r="AT26" s="11"/>
      <c r="AU26" s="9"/>
      <c r="AV26" s="12"/>
      <c r="AW26" s="12"/>
    </row>
    <row r="27" spans="1:49" ht="24.75" customHeight="1">
      <c r="A27" s="47"/>
      <c r="B27" s="35"/>
      <c r="C27" s="35"/>
      <c r="D27" s="32"/>
      <c r="E27" s="32"/>
      <c r="F27" s="32"/>
      <c r="G27" s="32"/>
      <c r="H27" s="53"/>
      <c r="I27" s="53"/>
      <c r="J27" s="35"/>
      <c r="K27" s="41"/>
      <c r="L27" s="44"/>
      <c r="M27" s="27">
        <v>46174</v>
      </c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30"/>
      <c r="AN27" s="28"/>
      <c r="AO27" s="28"/>
      <c r="AP27" s="28"/>
      <c r="AQ27" s="28"/>
      <c r="AR27" s="28"/>
      <c r="AS27" s="23">
        <f t="shared" si="2"/>
        <v>0</v>
      </c>
      <c r="AT27" s="11"/>
      <c r="AU27" s="9"/>
      <c r="AV27" s="12"/>
      <c r="AW27" s="12"/>
    </row>
    <row r="28" spans="1:49" ht="24.75" customHeight="1">
      <c r="A28" s="47"/>
      <c r="B28" s="35"/>
      <c r="C28" s="35"/>
      <c r="D28" s="32"/>
      <c r="E28" s="32"/>
      <c r="F28" s="32"/>
      <c r="G28" s="32"/>
      <c r="H28" s="53"/>
      <c r="I28" s="53"/>
      <c r="J28" s="35"/>
      <c r="K28" s="41"/>
      <c r="L28" s="44"/>
      <c r="M28" s="22">
        <v>46204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30"/>
      <c r="AN28" s="21"/>
      <c r="AO28" s="21"/>
      <c r="AP28" s="21"/>
      <c r="AQ28" s="21"/>
      <c r="AR28" s="21"/>
      <c r="AS28" s="23">
        <f>SUM(N28:AR28)</f>
        <v>0</v>
      </c>
      <c r="AT28" s="11"/>
      <c r="AU28" s="9"/>
      <c r="AV28" s="12"/>
      <c r="AW28" s="12"/>
    </row>
    <row r="29" spans="1:49" ht="24.75" customHeight="1">
      <c r="A29" s="47"/>
      <c r="B29" s="35"/>
      <c r="C29" s="35"/>
      <c r="D29" s="32"/>
      <c r="E29" s="32"/>
      <c r="F29" s="32"/>
      <c r="G29" s="32"/>
      <c r="H29" s="53"/>
      <c r="I29" s="53"/>
      <c r="J29" s="35"/>
      <c r="K29" s="41"/>
      <c r="L29" s="44"/>
      <c r="M29" s="22">
        <v>46235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30"/>
      <c r="AN29" s="21"/>
      <c r="AO29" s="21"/>
      <c r="AP29" s="21"/>
      <c r="AQ29" s="21"/>
      <c r="AR29" s="21"/>
      <c r="AS29" s="23">
        <f>SUM(N29:AR29)</f>
        <v>0</v>
      </c>
      <c r="AT29" s="11"/>
      <c r="AU29" s="9"/>
      <c r="AV29" s="12"/>
      <c r="AW29" s="12"/>
    </row>
    <row r="30" spans="1:49" ht="24.75" customHeight="1">
      <c r="A30" s="47"/>
      <c r="B30" s="35"/>
      <c r="C30" s="35"/>
      <c r="D30" s="32"/>
      <c r="E30" s="32"/>
      <c r="F30" s="32"/>
      <c r="G30" s="32"/>
      <c r="H30" s="53"/>
      <c r="I30" s="53"/>
      <c r="J30" s="35"/>
      <c r="K30" s="41"/>
      <c r="L30" s="44"/>
      <c r="M30" s="22">
        <v>46266</v>
      </c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3">
        <f>SUM(N30:AQ30)</f>
        <v>0</v>
      </c>
      <c r="AT30" s="11"/>
      <c r="AU30" s="9"/>
      <c r="AV30" s="12"/>
      <c r="AW30" s="12"/>
    </row>
    <row r="31" spans="1:49" ht="24.75" customHeight="1" thickBot="1">
      <c r="A31" s="48"/>
      <c r="B31" s="36"/>
      <c r="C31" s="36"/>
      <c r="D31" s="33"/>
      <c r="E31" s="33"/>
      <c r="F31" s="33"/>
      <c r="G31" s="33"/>
      <c r="H31" s="54"/>
      <c r="I31" s="54"/>
      <c r="J31" s="36"/>
      <c r="K31" s="42"/>
      <c r="L31" s="45"/>
      <c r="M31" s="22">
        <v>46296</v>
      </c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29">
        <f>SUM(N31:AR31)</f>
        <v>0</v>
      </c>
      <c r="AT31" s="11"/>
      <c r="AU31" s="9"/>
      <c r="AV31" s="12"/>
      <c r="AW31" s="12"/>
    </row>
    <row r="32" spans="1:49" ht="24.75" customHeight="1">
      <c r="A32" s="46">
        <v>4</v>
      </c>
      <c r="B32" s="34" t="s">
        <v>25</v>
      </c>
      <c r="C32" s="34" t="s">
        <v>20</v>
      </c>
      <c r="D32" s="31">
        <v>0.52083333333333337</v>
      </c>
      <c r="E32" s="31">
        <v>0.57291666666666663</v>
      </c>
      <c r="F32" s="31"/>
      <c r="G32" s="31"/>
      <c r="H32" s="52" t="s">
        <v>76</v>
      </c>
      <c r="I32" s="52" t="s">
        <v>77</v>
      </c>
      <c r="J32" s="34" t="s">
        <v>21</v>
      </c>
      <c r="K32" s="40" t="s">
        <v>22</v>
      </c>
      <c r="L32" s="43" t="s">
        <v>23</v>
      </c>
      <c r="M32" s="27">
        <v>46082</v>
      </c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3">
        <f>SUM(N32:AR32)</f>
        <v>0</v>
      </c>
      <c r="AT32" s="13"/>
      <c r="AU32" s="9"/>
      <c r="AV32" s="5"/>
      <c r="AW32" s="5"/>
    </row>
    <row r="33" spans="1:49" ht="24.75" customHeight="1">
      <c r="A33" s="47"/>
      <c r="B33" s="35"/>
      <c r="C33" s="35"/>
      <c r="D33" s="32"/>
      <c r="E33" s="32"/>
      <c r="F33" s="32"/>
      <c r="G33" s="32"/>
      <c r="H33" s="53"/>
      <c r="I33" s="53"/>
      <c r="J33" s="35"/>
      <c r="K33" s="41"/>
      <c r="L33" s="44"/>
      <c r="M33" s="27">
        <v>46116</v>
      </c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3">
        <f t="shared" ref="AS33:AS35" si="3">SUM(N33:AR33)</f>
        <v>0</v>
      </c>
      <c r="AT33" s="11"/>
      <c r="AU33" s="9"/>
      <c r="AV33" s="5"/>
      <c r="AW33" s="5"/>
    </row>
    <row r="34" spans="1:49" ht="24.75" customHeight="1">
      <c r="A34" s="47"/>
      <c r="B34" s="35"/>
      <c r="C34" s="35"/>
      <c r="D34" s="32"/>
      <c r="E34" s="32"/>
      <c r="F34" s="32"/>
      <c r="G34" s="32"/>
      <c r="H34" s="53"/>
      <c r="I34" s="53"/>
      <c r="J34" s="35"/>
      <c r="K34" s="41"/>
      <c r="L34" s="44"/>
      <c r="M34" s="22" t="s">
        <v>78</v>
      </c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3">
        <f t="shared" si="3"/>
        <v>0</v>
      </c>
      <c r="AT34" s="11"/>
      <c r="AU34" s="9"/>
      <c r="AV34" s="5"/>
      <c r="AW34" s="5"/>
    </row>
    <row r="35" spans="1:49" ht="24.75" customHeight="1">
      <c r="A35" s="47"/>
      <c r="B35" s="35"/>
      <c r="C35" s="35"/>
      <c r="D35" s="32"/>
      <c r="E35" s="32"/>
      <c r="F35" s="32"/>
      <c r="G35" s="32"/>
      <c r="H35" s="53"/>
      <c r="I35" s="53"/>
      <c r="J35" s="35"/>
      <c r="K35" s="41"/>
      <c r="L35" s="44"/>
      <c r="M35" s="27">
        <v>46174</v>
      </c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30"/>
      <c r="AN35" s="28"/>
      <c r="AO35" s="28"/>
      <c r="AP35" s="28"/>
      <c r="AQ35" s="28"/>
      <c r="AR35" s="28"/>
      <c r="AS35" s="23">
        <f t="shared" si="3"/>
        <v>0</v>
      </c>
      <c r="AT35" s="11"/>
      <c r="AU35" s="9"/>
      <c r="AV35" s="5"/>
      <c r="AW35" s="5"/>
    </row>
    <row r="36" spans="1:49" ht="24.75" customHeight="1">
      <c r="A36" s="47"/>
      <c r="B36" s="35"/>
      <c r="C36" s="35"/>
      <c r="D36" s="32"/>
      <c r="E36" s="32"/>
      <c r="F36" s="32"/>
      <c r="G36" s="32"/>
      <c r="H36" s="53"/>
      <c r="I36" s="53"/>
      <c r="J36" s="35"/>
      <c r="K36" s="41"/>
      <c r="L36" s="44"/>
      <c r="M36" s="22">
        <v>46204</v>
      </c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30"/>
      <c r="AN36" s="21"/>
      <c r="AO36" s="21"/>
      <c r="AP36" s="21"/>
      <c r="AQ36" s="21"/>
      <c r="AR36" s="21"/>
      <c r="AS36" s="23">
        <f>SUM(N36:AR36)</f>
        <v>0</v>
      </c>
      <c r="AT36" s="11"/>
      <c r="AU36" s="9"/>
      <c r="AV36" s="5"/>
      <c r="AW36" s="5"/>
    </row>
    <row r="37" spans="1:49" ht="24.75" customHeight="1">
      <c r="A37" s="47"/>
      <c r="B37" s="35"/>
      <c r="C37" s="35"/>
      <c r="D37" s="32"/>
      <c r="E37" s="32"/>
      <c r="F37" s="32"/>
      <c r="G37" s="32"/>
      <c r="H37" s="53"/>
      <c r="I37" s="53"/>
      <c r="J37" s="35"/>
      <c r="K37" s="41"/>
      <c r="L37" s="44"/>
      <c r="M37" s="22">
        <v>46235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30"/>
      <c r="AN37" s="21"/>
      <c r="AO37" s="21"/>
      <c r="AP37" s="21"/>
      <c r="AQ37" s="21"/>
      <c r="AR37" s="21"/>
      <c r="AS37" s="23">
        <f>SUM(N37:AR37)</f>
        <v>0</v>
      </c>
      <c r="AT37" s="11"/>
      <c r="AU37" s="9"/>
      <c r="AV37" s="12"/>
      <c r="AW37" s="12"/>
    </row>
    <row r="38" spans="1:49" ht="24.75" customHeight="1">
      <c r="A38" s="47"/>
      <c r="B38" s="35"/>
      <c r="C38" s="35"/>
      <c r="D38" s="32"/>
      <c r="E38" s="32"/>
      <c r="F38" s="32"/>
      <c r="G38" s="32"/>
      <c r="H38" s="53"/>
      <c r="I38" s="53"/>
      <c r="J38" s="35"/>
      <c r="K38" s="41"/>
      <c r="L38" s="44"/>
      <c r="M38" s="22">
        <v>46266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3">
        <f>SUM(N38:AQ38)</f>
        <v>0</v>
      </c>
      <c r="AT38" s="11"/>
      <c r="AU38" s="9"/>
      <c r="AV38" s="12"/>
      <c r="AW38" s="12"/>
    </row>
    <row r="39" spans="1:49" ht="24.75" customHeight="1">
      <c r="A39" s="48"/>
      <c r="B39" s="36"/>
      <c r="C39" s="36"/>
      <c r="D39" s="33"/>
      <c r="E39" s="33"/>
      <c r="F39" s="33"/>
      <c r="G39" s="33"/>
      <c r="H39" s="54"/>
      <c r="I39" s="54"/>
      <c r="J39" s="36"/>
      <c r="K39" s="42"/>
      <c r="L39" s="45"/>
      <c r="M39" s="22">
        <v>46296</v>
      </c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29">
        <f>SUM(N39:AR39)</f>
        <v>0</v>
      </c>
      <c r="AT39" s="11"/>
      <c r="AU39" s="9"/>
      <c r="AV39" s="12"/>
      <c r="AW39" s="12"/>
    </row>
    <row r="40" spans="1:49" ht="24.75" customHeight="1">
      <c r="A40" s="46">
        <v>5</v>
      </c>
      <c r="B40" s="34" t="s">
        <v>26</v>
      </c>
      <c r="C40" s="34" t="s">
        <v>27</v>
      </c>
      <c r="D40" s="31">
        <v>3.4722222222222224E-2</v>
      </c>
      <c r="E40" s="31">
        <v>0.10763888888888901</v>
      </c>
      <c r="F40" s="31"/>
      <c r="G40" s="31"/>
      <c r="H40" s="52" t="s">
        <v>76</v>
      </c>
      <c r="I40" s="49" t="s">
        <v>80</v>
      </c>
      <c r="J40" s="34" t="s">
        <v>21</v>
      </c>
      <c r="K40" s="40" t="s">
        <v>22</v>
      </c>
      <c r="L40" s="43" t="s">
        <v>23</v>
      </c>
      <c r="M40" s="27">
        <v>46082</v>
      </c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3">
        <f>SUM(N40:AR40)</f>
        <v>0</v>
      </c>
      <c r="AT40" s="11"/>
      <c r="AU40" s="9"/>
      <c r="AV40" s="12"/>
      <c r="AW40" s="12"/>
    </row>
    <row r="41" spans="1:49" ht="24.75" customHeight="1">
      <c r="A41" s="47"/>
      <c r="B41" s="35"/>
      <c r="C41" s="35"/>
      <c r="D41" s="32"/>
      <c r="E41" s="32"/>
      <c r="F41" s="32"/>
      <c r="G41" s="32"/>
      <c r="H41" s="53"/>
      <c r="I41" s="50"/>
      <c r="J41" s="35"/>
      <c r="K41" s="41"/>
      <c r="L41" s="44"/>
      <c r="M41" s="27">
        <v>46116</v>
      </c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3">
        <f t="shared" ref="AS41:AS43" si="4">SUM(N41:AR41)</f>
        <v>0</v>
      </c>
      <c r="AT41" s="11"/>
      <c r="AU41" s="9"/>
      <c r="AV41" s="12"/>
      <c r="AW41" s="12"/>
    </row>
    <row r="42" spans="1:49" ht="24.75" customHeight="1">
      <c r="A42" s="47"/>
      <c r="B42" s="35"/>
      <c r="C42" s="35"/>
      <c r="D42" s="32"/>
      <c r="E42" s="32"/>
      <c r="F42" s="32"/>
      <c r="G42" s="32"/>
      <c r="H42" s="53"/>
      <c r="I42" s="50"/>
      <c r="J42" s="35"/>
      <c r="K42" s="41"/>
      <c r="L42" s="44"/>
      <c r="M42" s="22" t="s">
        <v>78</v>
      </c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3">
        <f t="shared" si="4"/>
        <v>0</v>
      </c>
      <c r="AT42" s="11"/>
      <c r="AU42" s="9"/>
      <c r="AV42" s="12"/>
      <c r="AW42" s="12"/>
    </row>
    <row r="43" spans="1:49" ht="24.75" customHeight="1">
      <c r="A43" s="47"/>
      <c r="B43" s="35"/>
      <c r="C43" s="35"/>
      <c r="D43" s="32"/>
      <c r="E43" s="32"/>
      <c r="F43" s="32"/>
      <c r="G43" s="32"/>
      <c r="H43" s="53"/>
      <c r="I43" s="50"/>
      <c r="J43" s="35"/>
      <c r="K43" s="41"/>
      <c r="L43" s="44"/>
      <c r="M43" s="27">
        <v>46174</v>
      </c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30"/>
      <c r="AN43" s="28"/>
      <c r="AO43" s="28"/>
      <c r="AP43" s="28"/>
      <c r="AQ43" s="28"/>
      <c r="AR43" s="28"/>
      <c r="AS43" s="23">
        <f t="shared" si="4"/>
        <v>0</v>
      </c>
      <c r="AT43" s="11"/>
      <c r="AU43" s="9"/>
      <c r="AV43" s="12"/>
      <c r="AW43" s="12"/>
    </row>
    <row r="44" spans="1:49" ht="24.75" customHeight="1" thickBot="1">
      <c r="A44" s="47"/>
      <c r="B44" s="35"/>
      <c r="C44" s="35"/>
      <c r="D44" s="32"/>
      <c r="E44" s="32"/>
      <c r="F44" s="32"/>
      <c r="G44" s="32"/>
      <c r="H44" s="53"/>
      <c r="I44" s="50"/>
      <c r="J44" s="35"/>
      <c r="K44" s="41"/>
      <c r="L44" s="44"/>
      <c r="M44" s="22">
        <v>46204</v>
      </c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30"/>
      <c r="AN44" s="21"/>
      <c r="AO44" s="21"/>
      <c r="AP44" s="21"/>
      <c r="AQ44" s="21"/>
      <c r="AR44" s="21"/>
      <c r="AS44" s="23">
        <f>SUM(N44:AR44)</f>
        <v>0</v>
      </c>
      <c r="AT44" s="11"/>
      <c r="AU44" s="9"/>
      <c r="AV44" s="12"/>
      <c r="AW44" s="12"/>
    </row>
    <row r="45" spans="1:49" ht="24.75" customHeight="1" thickBot="1">
      <c r="A45" s="47"/>
      <c r="B45" s="35"/>
      <c r="C45" s="35"/>
      <c r="D45" s="32"/>
      <c r="E45" s="32"/>
      <c r="F45" s="32"/>
      <c r="G45" s="32"/>
      <c r="H45" s="53"/>
      <c r="I45" s="50"/>
      <c r="J45" s="35"/>
      <c r="K45" s="41"/>
      <c r="L45" s="44"/>
      <c r="M45" s="22">
        <v>46235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30"/>
      <c r="AN45" s="21"/>
      <c r="AO45" s="21"/>
      <c r="AP45" s="21"/>
      <c r="AQ45" s="21"/>
      <c r="AR45" s="21"/>
      <c r="AS45" s="23">
        <f>SUM(N45:AR45)</f>
        <v>0</v>
      </c>
      <c r="AT45" s="13"/>
      <c r="AU45" s="9"/>
      <c r="AV45" s="5"/>
      <c r="AW45" s="5"/>
    </row>
    <row r="46" spans="1:49" ht="24.75" customHeight="1" thickBot="1">
      <c r="A46" s="47"/>
      <c r="B46" s="35"/>
      <c r="C46" s="35"/>
      <c r="D46" s="32"/>
      <c r="E46" s="32"/>
      <c r="F46" s="32"/>
      <c r="G46" s="32"/>
      <c r="H46" s="53"/>
      <c r="I46" s="50"/>
      <c r="J46" s="35"/>
      <c r="K46" s="41"/>
      <c r="L46" s="44"/>
      <c r="M46" s="22">
        <v>46266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3">
        <f>SUM(N46:AQ46)</f>
        <v>0</v>
      </c>
      <c r="AT46" s="13"/>
      <c r="AU46" s="9"/>
      <c r="AV46" s="5"/>
      <c r="AW46" s="5"/>
    </row>
    <row r="47" spans="1:49" ht="24.75" customHeight="1">
      <c r="A47" s="48"/>
      <c r="B47" s="36"/>
      <c r="C47" s="36"/>
      <c r="D47" s="33"/>
      <c r="E47" s="33"/>
      <c r="F47" s="33"/>
      <c r="G47" s="33"/>
      <c r="H47" s="54"/>
      <c r="I47" s="51"/>
      <c r="J47" s="36"/>
      <c r="K47" s="42"/>
      <c r="L47" s="45"/>
      <c r="M47" s="22">
        <v>46296</v>
      </c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29">
        <f>SUM(N47:AR47)</f>
        <v>0</v>
      </c>
      <c r="AT47" s="13"/>
      <c r="AU47" s="9"/>
      <c r="AV47" s="5"/>
      <c r="AW47" s="5"/>
    </row>
    <row r="48" spans="1:49" ht="24.75" customHeight="1" thickBot="1">
      <c r="A48" s="46">
        <v>6</v>
      </c>
      <c r="B48" s="34" t="s">
        <v>29</v>
      </c>
      <c r="C48" s="34" t="s">
        <v>30</v>
      </c>
      <c r="D48" s="31">
        <v>0.10069444444444443</v>
      </c>
      <c r="E48" s="31">
        <v>0.17013888888888887</v>
      </c>
      <c r="F48" s="31"/>
      <c r="G48" s="31"/>
      <c r="H48" s="34" t="s">
        <v>76</v>
      </c>
      <c r="I48" s="49" t="s">
        <v>81</v>
      </c>
      <c r="J48" s="34" t="s">
        <v>21</v>
      </c>
      <c r="K48" s="40" t="s">
        <v>22</v>
      </c>
      <c r="L48" s="43" t="s">
        <v>23</v>
      </c>
      <c r="M48" s="27">
        <v>46082</v>
      </c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3">
        <f>SUM(N48:AR48)</f>
        <v>0</v>
      </c>
      <c r="AT48" s="11"/>
      <c r="AU48" s="9"/>
      <c r="AV48" s="12"/>
      <c r="AW48" s="12"/>
    </row>
    <row r="49" spans="1:49" ht="24.75" customHeight="1">
      <c r="A49" s="47"/>
      <c r="B49" s="35"/>
      <c r="C49" s="35"/>
      <c r="D49" s="32"/>
      <c r="E49" s="32"/>
      <c r="F49" s="32"/>
      <c r="G49" s="32"/>
      <c r="H49" s="35"/>
      <c r="I49" s="50"/>
      <c r="J49" s="35"/>
      <c r="K49" s="41"/>
      <c r="L49" s="44"/>
      <c r="M49" s="27">
        <v>46116</v>
      </c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3">
        <f t="shared" ref="AS49:AS51" si="5">SUM(N49:AR49)</f>
        <v>0</v>
      </c>
      <c r="AT49" s="13"/>
      <c r="AU49" s="9"/>
      <c r="AV49" s="5"/>
      <c r="AW49" s="5"/>
    </row>
    <row r="50" spans="1:49" ht="24.75" customHeight="1">
      <c r="A50" s="47"/>
      <c r="B50" s="35"/>
      <c r="C50" s="35"/>
      <c r="D50" s="32"/>
      <c r="E50" s="32"/>
      <c r="F50" s="32"/>
      <c r="G50" s="32"/>
      <c r="H50" s="35"/>
      <c r="I50" s="50"/>
      <c r="J50" s="35"/>
      <c r="K50" s="41"/>
      <c r="L50" s="44"/>
      <c r="M50" s="22" t="s">
        <v>78</v>
      </c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3">
        <f t="shared" si="5"/>
        <v>0</v>
      </c>
      <c r="AT50" s="11"/>
      <c r="AU50" s="9"/>
      <c r="AV50" s="5"/>
      <c r="AW50" s="5"/>
    </row>
    <row r="51" spans="1:49" ht="24.75" customHeight="1">
      <c r="A51" s="47"/>
      <c r="B51" s="35"/>
      <c r="C51" s="35"/>
      <c r="D51" s="32"/>
      <c r="E51" s="32"/>
      <c r="F51" s="32"/>
      <c r="G51" s="32"/>
      <c r="H51" s="35"/>
      <c r="I51" s="50"/>
      <c r="J51" s="35"/>
      <c r="K51" s="41"/>
      <c r="L51" s="44"/>
      <c r="M51" s="27">
        <v>46174</v>
      </c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30"/>
      <c r="AN51" s="28"/>
      <c r="AO51" s="28"/>
      <c r="AP51" s="28"/>
      <c r="AQ51" s="28"/>
      <c r="AR51" s="28"/>
      <c r="AS51" s="23">
        <f t="shared" si="5"/>
        <v>0</v>
      </c>
      <c r="AT51" s="11"/>
      <c r="AU51" s="9"/>
      <c r="AV51" s="5"/>
      <c r="AW51" s="5"/>
    </row>
    <row r="52" spans="1:49" ht="24.75" customHeight="1">
      <c r="A52" s="47"/>
      <c r="B52" s="35"/>
      <c r="C52" s="35"/>
      <c r="D52" s="32"/>
      <c r="E52" s="32"/>
      <c r="F52" s="32"/>
      <c r="G52" s="32"/>
      <c r="H52" s="35"/>
      <c r="I52" s="50"/>
      <c r="J52" s="35"/>
      <c r="K52" s="41"/>
      <c r="L52" s="44"/>
      <c r="M52" s="22">
        <v>46204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30"/>
      <c r="AN52" s="21"/>
      <c r="AO52" s="21"/>
      <c r="AP52" s="21"/>
      <c r="AQ52" s="21"/>
      <c r="AR52" s="21"/>
      <c r="AS52" s="23">
        <f>SUM(N52:AR52)</f>
        <v>0</v>
      </c>
      <c r="AT52" s="11"/>
      <c r="AU52" s="9"/>
      <c r="AV52" s="5"/>
      <c r="AW52" s="5"/>
    </row>
    <row r="53" spans="1:49" ht="24.75" customHeight="1">
      <c r="A53" s="47"/>
      <c r="B53" s="35"/>
      <c r="C53" s="35"/>
      <c r="D53" s="32"/>
      <c r="E53" s="32"/>
      <c r="F53" s="32"/>
      <c r="G53" s="32"/>
      <c r="H53" s="35"/>
      <c r="I53" s="50"/>
      <c r="J53" s="35"/>
      <c r="K53" s="41"/>
      <c r="L53" s="44"/>
      <c r="M53" s="22">
        <v>46235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30"/>
      <c r="AN53" s="21"/>
      <c r="AO53" s="21"/>
      <c r="AP53" s="21"/>
      <c r="AQ53" s="21"/>
      <c r="AR53" s="21"/>
      <c r="AS53" s="23">
        <f>SUM(N53:AR53)</f>
        <v>0</v>
      </c>
      <c r="AT53" s="11"/>
      <c r="AU53" s="9"/>
      <c r="AV53" s="5"/>
      <c r="AW53" s="5"/>
    </row>
    <row r="54" spans="1:49" ht="24.75" customHeight="1">
      <c r="A54" s="47"/>
      <c r="B54" s="35"/>
      <c r="C54" s="35"/>
      <c r="D54" s="32"/>
      <c r="E54" s="32"/>
      <c r="F54" s="32"/>
      <c r="G54" s="32"/>
      <c r="H54" s="35"/>
      <c r="I54" s="50"/>
      <c r="J54" s="35"/>
      <c r="K54" s="41"/>
      <c r="L54" s="44"/>
      <c r="M54" s="22">
        <v>46266</v>
      </c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3">
        <f>SUM(N54:AQ54)</f>
        <v>0</v>
      </c>
      <c r="AT54" s="11"/>
      <c r="AU54" s="9"/>
      <c r="AV54" s="5"/>
      <c r="AW54" s="5"/>
    </row>
    <row r="55" spans="1:49" ht="24.75" customHeight="1">
      <c r="A55" s="48"/>
      <c r="B55" s="36"/>
      <c r="C55" s="36"/>
      <c r="D55" s="33"/>
      <c r="E55" s="33"/>
      <c r="F55" s="33"/>
      <c r="G55" s="33"/>
      <c r="H55" s="36"/>
      <c r="I55" s="51"/>
      <c r="J55" s="36"/>
      <c r="K55" s="42"/>
      <c r="L55" s="45"/>
      <c r="M55" s="22">
        <v>46296</v>
      </c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29">
        <f>SUM(N55:AR55)</f>
        <v>0</v>
      </c>
      <c r="AT55" s="11"/>
      <c r="AU55" s="9"/>
      <c r="AV55" s="5"/>
      <c r="AW55" s="5"/>
    </row>
    <row r="56" spans="1:49" ht="24.75" customHeight="1" thickBot="1">
      <c r="A56" s="46">
        <v>7</v>
      </c>
      <c r="B56" s="34" t="s">
        <v>31</v>
      </c>
      <c r="C56" s="34" t="s">
        <v>30</v>
      </c>
      <c r="D56" s="31">
        <v>0.92361111111111116</v>
      </c>
      <c r="E56" s="31">
        <v>0.98611111111111105</v>
      </c>
      <c r="F56" s="31"/>
      <c r="G56" s="31"/>
      <c r="H56" s="34" t="s">
        <v>76</v>
      </c>
      <c r="I56" s="49" t="s">
        <v>81</v>
      </c>
      <c r="J56" s="34" t="s">
        <v>21</v>
      </c>
      <c r="K56" s="40" t="s">
        <v>22</v>
      </c>
      <c r="L56" s="43" t="s">
        <v>23</v>
      </c>
      <c r="M56" s="27">
        <v>46082</v>
      </c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3">
        <f>SUM(N56:AR56)</f>
        <v>0</v>
      </c>
      <c r="AT56" s="11"/>
      <c r="AU56" s="9"/>
      <c r="AV56" s="12"/>
      <c r="AW56" s="12"/>
    </row>
    <row r="57" spans="1:49" ht="24.75" customHeight="1" thickBot="1">
      <c r="A57" s="47"/>
      <c r="B57" s="35"/>
      <c r="C57" s="35"/>
      <c r="D57" s="32"/>
      <c r="E57" s="32"/>
      <c r="F57" s="32"/>
      <c r="G57" s="32"/>
      <c r="H57" s="35"/>
      <c r="I57" s="50"/>
      <c r="J57" s="35"/>
      <c r="K57" s="41"/>
      <c r="L57" s="44"/>
      <c r="M57" s="27">
        <v>46116</v>
      </c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3">
        <f t="shared" ref="AS57:AS59" si="6">SUM(N57:AR57)</f>
        <v>0</v>
      </c>
      <c r="AT57" s="13"/>
      <c r="AU57" s="9"/>
      <c r="AV57" s="5"/>
      <c r="AW57" s="5"/>
    </row>
    <row r="58" spans="1:49" ht="24.75" customHeight="1">
      <c r="A58" s="47"/>
      <c r="B58" s="35"/>
      <c r="C58" s="35"/>
      <c r="D58" s="32"/>
      <c r="E58" s="32"/>
      <c r="F58" s="32"/>
      <c r="G58" s="32"/>
      <c r="H58" s="35"/>
      <c r="I58" s="50"/>
      <c r="J58" s="35"/>
      <c r="K58" s="41"/>
      <c r="L58" s="44"/>
      <c r="M58" s="22" t="s">
        <v>78</v>
      </c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3">
        <f t="shared" si="6"/>
        <v>0</v>
      </c>
      <c r="AT58" s="13"/>
      <c r="AU58" s="9"/>
      <c r="AV58" s="5"/>
      <c r="AW58" s="5"/>
    </row>
    <row r="59" spans="1:49" ht="24.75" customHeight="1">
      <c r="A59" s="47"/>
      <c r="B59" s="35"/>
      <c r="C59" s="35"/>
      <c r="D59" s="32"/>
      <c r="E59" s="32"/>
      <c r="F59" s="32"/>
      <c r="G59" s="32"/>
      <c r="H59" s="35"/>
      <c r="I59" s="50"/>
      <c r="J59" s="35"/>
      <c r="K59" s="41"/>
      <c r="L59" s="44"/>
      <c r="M59" s="27">
        <v>46174</v>
      </c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30"/>
      <c r="AN59" s="28"/>
      <c r="AO59" s="28"/>
      <c r="AP59" s="28"/>
      <c r="AQ59" s="28"/>
      <c r="AR59" s="28"/>
      <c r="AS59" s="23">
        <f t="shared" si="6"/>
        <v>0</v>
      </c>
      <c r="AT59" s="14"/>
      <c r="AU59" s="9"/>
      <c r="AV59" s="5"/>
      <c r="AW59" s="5"/>
    </row>
    <row r="60" spans="1:49" ht="24.75" customHeight="1">
      <c r="A60" s="47"/>
      <c r="B60" s="35"/>
      <c r="C60" s="35"/>
      <c r="D60" s="32"/>
      <c r="E60" s="32"/>
      <c r="F60" s="32"/>
      <c r="G60" s="32"/>
      <c r="H60" s="35"/>
      <c r="I60" s="50"/>
      <c r="J60" s="35"/>
      <c r="K60" s="41"/>
      <c r="L60" s="44"/>
      <c r="M60" s="22">
        <v>46204</v>
      </c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30"/>
      <c r="AN60" s="21"/>
      <c r="AO60" s="21"/>
      <c r="AP60" s="21"/>
      <c r="AQ60" s="21"/>
      <c r="AR60" s="21"/>
      <c r="AS60" s="23">
        <f>SUM(N60:AR60)</f>
        <v>0</v>
      </c>
      <c r="AT60" s="14"/>
      <c r="AU60" s="9"/>
      <c r="AV60" s="5"/>
      <c r="AW60" s="5"/>
    </row>
    <row r="61" spans="1:49" ht="24.75" customHeight="1">
      <c r="A61" s="47"/>
      <c r="B61" s="35"/>
      <c r="C61" s="35"/>
      <c r="D61" s="32"/>
      <c r="E61" s="32"/>
      <c r="F61" s="32"/>
      <c r="G61" s="32"/>
      <c r="H61" s="35"/>
      <c r="I61" s="50"/>
      <c r="J61" s="35"/>
      <c r="K61" s="41"/>
      <c r="L61" s="44"/>
      <c r="M61" s="22">
        <v>46235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30"/>
      <c r="AN61" s="21"/>
      <c r="AO61" s="21"/>
      <c r="AP61" s="21"/>
      <c r="AQ61" s="21"/>
      <c r="AR61" s="21"/>
      <c r="AS61" s="23">
        <f>SUM(N61:AR61)</f>
        <v>0</v>
      </c>
      <c r="AT61" s="14"/>
      <c r="AU61" s="9"/>
      <c r="AV61" s="12"/>
      <c r="AW61" s="12"/>
    </row>
    <row r="62" spans="1:49" ht="24.75" customHeight="1">
      <c r="A62" s="47"/>
      <c r="B62" s="35"/>
      <c r="C62" s="35"/>
      <c r="D62" s="32"/>
      <c r="E62" s="32"/>
      <c r="F62" s="32"/>
      <c r="G62" s="32"/>
      <c r="H62" s="35"/>
      <c r="I62" s="50"/>
      <c r="J62" s="35"/>
      <c r="K62" s="41"/>
      <c r="L62" s="44"/>
      <c r="M62" s="22">
        <v>46266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3">
        <f>SUM(N62:AQ62)</f>
        <v>0</v>
      </c>
      <c r="AT62" s="14"/>
      <c r="AU62" s="9"/>
      <c r="AV62" s="12"/>
      <c r="AW62" s="12"/>
    </row>
    <row r="63" spans="1:49" ht="24.75" customHeight="1">
      <c r="A63" s="48"/>
      <c r="B63" s="36"/>
      <c r="C63" s="36"/>
      <c r="D63" s="33"/>
      <c r="E63" s="33"/>
      <c r="F63" s="33"/>
      <c r="G63" s="33"/>
      <c r="H63" s="36"/>
      <c r="I63" s="51"/>
      <c r="J63" s="36"/>
      <c r="K63" s="42"/>
      <c r="L63" s="45"/>
      <c r="M63" s="22">
        <v>46296</v>
      </c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29">
        <f>SUM(N63:AR63)</f>
        <v>0</v>
      </c>
      <c r="AT63" s="14"/>
      <c r="AU63" s="9"/>
      <c r="AV63" s="12"/>
      <c r="AW63" s="12"/>
    </row>
    <row r="64" spans="1:49" ht="24.75" customHeight="1">
      <c r="A64" s="46">
        <v>8</v>
      </c>
      <c r="B64" s="34" t="s">
        <v>32</v>
      </c>
      <c r="C64" s="34" t="s">
        <v>33</v>
      </c>
      <c r="D64" s="31">
        <v>0.55208333333333337</v>
      </c>
      <c r="E64" s="31">
        <v>0.625</v>
      </c>
      <c r="F64" s="31"/>
      <c r="G64" s="31"/>
      <c r="H64" s="34" t="s">
        <v>76</v>
      </c>
      <c r="I64" s="49" t="s">
        <v>82</v>
      </c>
      <c r="J64" s="34" t="s">
        <v>21</v>
      </c>
      <c r="K64" s="40" t="s">
        <v>22</v>
      </c>
      <c r="L64" s="43" t="s">
        <v>23</v>
      </c>
      <c r="M64" s="27">
        <v>46082</v>
      </c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3">
        <f>SUM(N64:AR64)</f>
        <v>0</v>
      </c>
      <c r="AT64" s="14"/>
      <c r="AU64" s="9"/>
      <c r="AV64" s="12"/>
      <c r="AW64" s="12"/>
    </row>
    <row r="65" spans="1:49" ht="24.75" customHeight="1">
      <c r="A65" s="47"/>
      <c r="B65" s="35"/>
      <c r="C65" s="35"/>
      <c r="D65" s="32"/>
      <c r="E65" s="32"/>
      <c r="F65" s="32"/>
      <c r="G65" s="32"/>
      <c r="H65" s="35"/>
      <c r="I65" s="50"/>
      <c r="J65" s="35"/>
      <c r="K65" s="41"/>
      <c r="L65" s="44"/>
      <c r="M65" s="27">
        <v>46116</v>
      </c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3">
        <f t="shared" ref="AS65:AS67" si="7">SUM(N65:AR65)</f>
        <v>0</v>
      </c>
      <c r="AT65" s="14"/>
      <c r="AU65" s="9"/>
      <c r="AV65" s="12"/>
      <c r="AW65" s="12"/>
    </row>
    <row r="66" spans="1:49" ht="24.75" customHeight="1">
      <c r="A66" s="47"/>
      <c r="B66" s="35"/>
      <c r="C66" s="35"/>
      <c r="D66" s="32"/>
      <c r="E66" s="32"/>
      <c r="F66" s="32"/>
      <c r="G66" s="32"/>
      <c r="H66" s="35"/>
      <c r="I66" s="50"/>
      <c r="J66" s="35"/>
      <c r="K66" s="41"/>
      <c r="L66" s="44"/>
      <c r="M66" s="22" t="s">
        <v>78</v>
      </c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3">
        <f t="shared" si="7"/>
        <v>0</v>
      </c>
      <c r="AT66" s="14"/>
      <c r="AU66" s="9"/>
      <c r="AV66" s="12"/>
      <c r="AW66" s="12"/>
    </row>
    <row r="67" spans="1:49" ht="24.75" customHeight="1">
      <c r="A67" s="47"/>
      <c r="B67" s="35"/>
      <c r="C67" s="35"/>
      <c r="D67" s="32"/>
      <c r="E67" s="32"/>
      <c r="F67" s="32"/>
      <c r="G67" s="32"/>
      <c r="H67" s="35"/>
      <c r="I67" s="50"/>
      <c r="J67" s="35"/>
      <c r="K67" s="41"/>
      <c r="L67" s="44"/>
      <c r="M67" s="27">
        <v>46174</v>
      </c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30"/>
      <c r="AN67" s="28"/>
      <c r="AO67" s="28"/>
      <c r="AP67" s="28"/>
      <c r="AQ67" s="28"/>
      <c r="AR67" s="28"/>
      <c r="AS67" s="23">
        <f t="shared" si="7"/>
        <v>0</v>
      </c>
      <c r="AT67" s="14"/>
      <c r="AU67" s="9"/>
      <c r="AV67" s="12"/>
      <c r="AW67" s="12"/>
    </row>
    <row r="68" spans="1:49" ht="24.75" customHeight="1">
      <c r="A68" s="47"/>
      <c r="B68" s="35"/>
      <c r="C68" s="35"/>
      <c r="D68" s="32"/>
      <c r="E68" s="32"/>
      <c r="F68" s="32"/>
      <c r="G68" s="32"/>
      <c r="H68" s="35"/>
      <c r="I68" s="50"/>
      <c r="J68" s="35"/>
      <c r="K68" s="41"/>
      <c r="L68" s="44"/>
      <c r="M68" s="22">
        <v>46204</v>
      </c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30"/>
      <c r="AN68" s="21"/>
      <c r="AO68" s="21"/>
      <c r="AP68" s="21"/>
      <c r="AQ68" s="21"/>
      <c r="AR68" s="21"/>
      <c r="AS68" s="23">
        <f>SUM(N68:AR68)</f>
        <v>0</v>
      </c>
      <c r="AT68" s="14"/>
      <c r="AU68" s="9"/>
      <c r="AV68" s="12"/>
      <c r="AW68" s="12"/>
    </row>
    <row r="69" spans="1:49" ht="24.75" customHeight="1">
      <c r="A69" s="47"/>
      <c r="B69" s="35"/>
      <c r="C69" s="35"/>
      <c r="D69" s="32"/>
      <c r="E69" s="32"/>
      <c r="F69" s="32"/>
      <c r="G69" s="32"/>
      <c r="H69" s="35"/>
      <c r="I69" s="50"/>
      <c r="J69" s="35"/>
      <c r="K69" s="41"/>
      <c r="L69" s="44"/>
      <c r="M69" s="22">
        <v>46235</v>
      </c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30"/>
      <c r="AN69" s="21"/>
      <c r="AO69" s="21"/>
      <c r="AP69" s="21"/>
      <c r="AQ69" s="21"/>
      <c r="AR69" s="21"/>
      <c r="AS69" s="23">
        <f>SUM(N69:AR69)</f>
        <v>0</v>
      </c>
      <c r="AT69" s="14"/>
      <c r="AU69" s="9"/>
      <c r="AV69" s="12"/>
      <c r="AW69" s="12"/>
    </row>
    <row r="70" spans="1:49" ht="24.75" customHeight="1">
      <c r="A70" s="47"/>
      <c r="B70" s="35"/>
      <c r="C70" s="35"/>
      <c r="D70" s="32"/>
      <c r="E70" s="32"/>
      <c r="F70" s="32"/>
      <c r="G70" s="32"/>
      <c r="H70" s="35"/>
      <c r="I70" s="50"/>
      <c r="J70" s="35"/>
      <c r="K70" s="41"/>
      <c r="L70" s="44"/>
      <c r="M70" s="22">
        <v>46266</v>
      </c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3">
        <f>SUM(N70:AQ70)</f>
        <v>0</v>
      </c>
      <c r="AT70" s="14"/>
      <c r="AU70" s="9"/>
      <c r="AV70" s="12"/>
      <c r="AW70" s="12"/>
    </row>
    <row r="71" spans="1:49" ht="24.75" customHeight="1">
      <c r="A71" s="48"/>
      <c r="B71" s="36"/>
      <c r="C71" s="36"/>
      <c r="D71" s="33"/>
      <c r="E71" s="33"/>
      <c r="F71" s="33"/>
      <c r="G71" s="33"/>
      <c r="H71" s="36"/>
      <c r="I71" s="51"/>
      <c r="J71" s="36"/>
      <c r="K71" s="42"/>
      <c r="L71" s="45"/>
      <c r="M71" s="22">
        <v>46296</v>
      </c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29">
        <f>SUM(N71:AR71)</f>
        <v>0</v>
      </c>
      <c r="AT71" s="14"/>
      <c r="AU71" s="9"/>
      <c r="AV71" s="12"/>
      <c r="AW71" s="12"/>
    </row>
    <row r="72" spans="1:49" ht="24.75" customHeight="1">
      <c r="A72" s="46">
        <v>9</v>
      </c>
      <c r="B72" s="34" t="s">
        <v>34</v>
      </c>
      <c r="C72" s="34" t="s">
        <v>33</v>
      </c>
      <c r="D72" s="31">
        <v>2.4305555555555556E-2</v>
      </c>
      <c r="E72" s="31">
        <v>8.3333333333333329E-2</v>
      </c>
      <c r="F72" s="31"/>
      <c r="G72" s="31"/>
      <c r="H72" s="34" t="s">
        <v>76</v>
      </c>
      <c r="I72" s="49" t="s">
        <v>82</v>
      </c>
      <c r="J72" s="34" t="s">
        <v>21</v>
      </c>
      <c r="K72" s="40" t="s">
        <v>22</v>
      </c>
      <c r="L72" s="43" t="s">
        <v>23</v>
      </c>
      <c r="M72" s="27">
        <v>46082</v>
      </c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3">
        <f>SUM(N72:AR72)</f>
        <v>0</v>
      </c>
      <c r="AT72" s="14"/>
      <c r="AU72" s="9"/>
      <c r="AV72" s="12"/>
      <c r="AW72" s="12"/>
    </row>
    <row r="73" spans="1:49" ht="24.75" customHeight="1">
      <c r="A73" s="47"/>
      <c r="B73" s="35"/>
      <c r="C73" s="35"/>
      <c r="D73" s="32"/>
      <c r="E73" s="32"/>
      <c r="F73" s="32"/>
      <c r="G73" s="32"/>
      <c r="H73" s="35"/>
      <c r="I73" s="50"/>
      <c r="J73" s="35"/>
      <c r="K73" s="41"/>
      <c r="L73" s="44"/>
      <c r="M73" s="27">
        <v>46116</v>
      </c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3">
        <f t="shared" ref="AS73:AS75" si="8">SUM(N73:AR73)</f>
        <v>0</v>
      </c>
      <c r="AT73" s="14"/>
      <c r="AU73" s="9"/>
      <c r="AV73" s="12"/>
      <c r="AW73" s="12"/>
    </row>
    <row r="74" spans="1:49" ht="24.75" customHeight="1">
      <c r="A74" s="47"/>
      <c r="B74" s="35"/>
      <c r="C74" s="35"/>
      <c r="D74" s="32"/>
      <c r="E74" s="32"/>
      <c r="F74" s="32"/>
      <c r="G74" s="32"/>
      <c r="H74" s="35"/>
      <c r="I74" s="50"/>
      <c r="J74" s="35"/>
      <c r="K74" s="41"/>
      <c r="L74" s="44"/>
      <c r="M74" s="22" t="s">
        <v>78</v>
      </c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3">
        <f t="shared" si="8"/>
        <v>0</v>
      </c>
      <c r="AT74" s="14"/>
      <c r="AU74" s="9"/>
      <c r="AV74" s="12"/>
      <c r="AW74" s="12"/>
    </row>
    <row r="75" spans="1:49" ht="24.75" customHeight="1">
      <c r="A75" s="47"/>
      <c r="B75" s="35"/>
      <c r="C75" s="35"/>
      <c r="D75" s="32"/>
      <c r="E75" s="32"/>
      <c r="F75" s="32"/>
      <c r="G75" s="32"/>
      <c r="H75" s="35"/>
      <c r="I75" s="50"/>
      <c r="J75" s="35"/>
      <c r="K75" s="41"/>
      <c r="L75" s="44"/>
      <c r="M75" s="27">
        <v>46174</v>
      </c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30"/>
      <c r="AN75" s="28"/>
      <c r="AO75" s="28"/>
      <c r="AP75" s="28"/>
      <c r="AQ75" s="28"/>
      <c r="AR75" s="28"/>
      <c r="AS75" s="23">
        <f t="shared" si="8"/>
        <v>0</v>
      </c>
      <c r="AT75" s="14"/>
      <c r="AU75" s="9"/>
      <c r="AV75" s="12"/>
      <c r="AW75" s="12"/>
    </row>
    <row r="76" spans="1:49" ht="24.75" customHeight="1">
      <c r="A76" s="47"/>
      <c r="B76" s="35"/>
      <c r="C76" s="35"/>
      <c r="D76" s="32"/>
      <c r="E76" s="32"/>
      <c r="F76" s="32"/>
      <c r="G76" s="32"/>
      <c r="H76" s="35"/>
      <c r="I76" s="50"/>
      <c r="J76" s="35"/>
      <c r="K76" s="41"/>
      <c r="L76" s="44"/>
      <c r="M76" s="22">
        <v>46204</v>
      </c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30"/>
      <c r="AN76" s="21"/>
      <c r="AO76" s="21"/>
      <c r="AP76" s="21"/>
      <c r="AQ76" s="21"/>
      <c r="AR76" s="21"/>
      <c r="AS76" s="23">
        <f>SUM(N76:AR76)</f>
        <v>0</v>
      </c>
      <c r="AT76" s="14"/>
      <c r="AU76" s="9"/>
      <c r="AV76" s="12"/>
      <c r="AW76" s="12"/>
    </row>
    <row r="77" spans="1:49" ht="24.75" customHeight="1">
      <c r="A77" s="47"/>
      <c r="B77" s="35"/>
      <c r="C77" s="35"/>
      <c r="D77" s="32"/>
      <c r="E77" s="32"/>
      <c r="F77" s="32"/>
      <c r="G77" s="32"/>
      <c r="H77" s="35"/>
      <c r="I77" s="50"/>
      <c r="J77" s="35"/>
      <c r="K77" s="41"/>
      <c r="L77" s="44"/>
      <c r="M77" s="22">
        <v>46235</v>
      </c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30"/>
      <c r="AN77" s="21"/>
      <c r="AO77" s="21"/>
      <c r="AP77" s="21"/>
      <c r="AQ77" s="21"/>
      <c r="AR77" s="21"/>
      <c r="AS77" s="23">
        <f>SUM(N77:AR77)</f>
        <v>0</v>
      </c>
      <c r="AT77" s="14"/>
      <c r="AU77" s="9"/>
      <c r="AV77" s="12"/>
      <c r="AW77" s="12"/>
    </row>
    <row r="78" spans="1:49" ht="24.75" customHeight="1">
      <c r="A78" s="47"/>
      <c r="B78" s="35"/>
      <c r="C78" s="35"/>
      <c r="D78" s="32"/>
      <c r="E78" s="32"/>
      <c r="F78" s="32"/>
      <c r="G78" s="32"/>
      <c r="H78" s="35"/>
      <c r="I78" s="50"/>
      <c r="J78" s="35"/>
      <c r="K78" s="41"/>
      <c r="L78" s="44"/>
      <c r="M78" s="22">
        <v>46266</v>
      </c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3">
        <f>SUM(N78:AQ78)</f>
        <v>0</v>
      </c>
      <c r="AT78" s="14"/>
      <c r="AU78" s="9"/>
      <c r="AV78" s="12"/>
      <c r="AW78" s="12"/>
    </row>
    <row r="79" spans="1:49" ht="24.75" customHeight="1">
      <c r="A79" s="48"/>
      <c r="B79" s="36"/>
      <c r="C79" s="36"/>
      <c r="D79" s="33"/>
      <c r="E79" s="33"/>
      <c r="F79" s="33"/>
      <c r="G79" s="33"/>
      <c r="H79" s="36"/>
      <c r="I79" s="51"/>
      <c r="J79" s="36"/>
      <c r="K79" s="42"/>
      <c r="L79" s="45"/>
      <c r="M79" s="22">
        <v>46296</v>
      </c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29">
        <f>SUM(N79:AR79)</f>
        <v>0</v>
      </c>
      <c r="AT79" s="14"/>
      <c r="AU79" s="9"/>
      <c r="AV79" s="12"/>
      <c r="AW79" s="12"/>
    </row>
    <row r="80" spans="1:49" ht="24.75" customHeight="1">
      <c r="A80" s="46">
        <v>10</v>
      </c>
      <c r="B80" s="34" t="s">
        <v>35</v>
      </c>
      <c r="C80" s="34" t="s">
        <v>33</v>
      </c>
      <c r="D80" s="31">
        <v>0.9375</v>
      </c>
      <c r="E80" s="31">
        <v>6.9444444444444441E-3</v>
      </c>
      <c r="F80" s="31"/>
      <c r="G80" s="31"/>
      <c r="H80" s="34" t="s">
        <v>76</v>
      </c>
      <c r="I80" s="49" t="s">
        <v>82</v>
      </c>
      <c r="J80" s="34" t="s">
        <v>21</v>
      </c>
      <c r="K80" s="40" t="s">
        <v>22</v>
      </c>
      <c r="L80" s="43" t="s">
        <v>23</v>
      </c>
      <c r="M80" s="27">
        <v>46082</v>
      </c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3">
        <f>SUM(N80:AR80)</f>
        <v>0</v>
      </c>
      <c r="AT80" s="14"/>
      <c r="AU80" s="9"/>
      <c r="AV80" s="12"/>
      <c r="AW80" s="12"/>
    </row>
    <row r="81" spans="1:49" ht="24.75" customHeight="1">
      <c r="A81" s="47"/>
      <c r="B81" s="35"/>
      <c r="C81" s="35"/>
      <c r="D81" s="32"/>
      <c r="E81" s="32"/>
      <c r="F81" s="32"/>
      <c r="G81" s="32"/>
      <c r="H81" s="35"/>
      <c r="I81" s="50"/>
      <c r="J81" s="35"/>
      <c r="K81" s="41"/>
      <c r="L81" s="44"/>
      <c r="M81" s="27">
        <v>46116</v>
      </c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3">
        <f t="shared" ref="AS81:AS83" si="9">SUM(N81:AR81)</f>
        <v>0</v>
      </c>
      <c r="AT81" s="14"/>
      <c r="AU81" s="9"/>
      <c r="AV81" s="12"/>
      <c r="AW81" s="12"/>
    </row>
    <row r="82" spans="1:49" ht="24.75" customHeight="1">
      <c r="A82" s="47"/>
      <c r="B82" s="35"/>
      <c r="C82" s="35"/>
      <c r="D82" s="32"/>
      <c r="E82" s="32"/>
      <c r="F82" s="32"/>
      <c r="G82" s="32"/>
      <c r="H82" s="35"/>
      <c r="I82" s="50"/>
      <c r="J82" s="35"/>
      <c r="K82" s="41"/>
      <c r="L82" s="44"/>
      <c r="M82" s="22" t="s">
        <v>78</v>
      </c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3">
        <f t="shared" si="9"/>
        <v>0</v>
      </c>
      <c r="AT82" s="14"/>
      <c r="AU82" s="9"/>
      <c r="AV82" s="12"/>
      <c r="AW82" s="12"/>
    </row>
    <row r="83" spans="1:49" ht="24.75" customHeight="1">
      <c r="A83" s="47"/>
      <c r="B83" s="35"/>
      <c r="C83" s="35"/>
      <c r="D83" s="32"/>
      <c r="E83" s="32"/>
      <c r="F83" s="32"/>
      <c r="G83" s="32"/>
      <c r="H83" s="35"/>
      <c r="I83" s="50"/>
      <c r="J83" s="35"/>
      <c r="K83" s="41"/>
      <c r="L83" s="44"/>
      <c r="M83" s="27">
        <v>46174</v>
      </c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30"/>
      <c r="AN83" s="28"/>
      <c r="AO83" s="28"/>
      <c r="AP83" s="28"/>
      <c r="AQ83" s="28"/>
      <c r="AR83" s="28"/>
      <c r="AS83" s="23">
        <f t="shared" si="9"/>
        <v>0</v>
      </c>
      <c r="AT83" s="14"/>
      <c r="AU83" s="9"/>
      <c r="AV83" s="12"/>
      <c r="AW83" s="12"/>
    </row>
    <row r="84" spans="1:49" ht="24.75" customHeight="1">
      <c r="A84" s="47"/>
      <c r="B84" s="35"/>
      <c r="C84" s="35"/>
      <c r="D84" s="32"/>
      <c r="E84" s="32"/>
      <c r="F84" s="32"/>
      <c r="G84" s="32"/>
      <c r="H84" s="35"/>
      <c r="I84" s="50"/>
      <c r="J84" s="35"/>
      <c r="K84" s="41"/>
      <c r="L84" s="44"/>
      <c r="M84" s="22">
        <v>46204</v>
      </c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30"/>
      <c r="AN84" s="21"/>
      <c r="AO84" s="21"/>
      <c r="AP84" s="21"/>
      <c r="AQ84" s="21"/>
      <c r="AR84" s="21"/>
      <c r="AS84" s="23">
        <f>SUM(N84:AR84)</f>
        <v>0</v>
      </c>
      <c r="AT84" s="14"/>
      <c r="AU84" s="9"/>
      <c r="AV84" s="12"/>
      <c r="AW84" s="12"/>
    </row>
    <row r="85" spans="1:49" ht="24.75" customHeight="1">
      <c r="A85" s="47"/>
      <c r="B85" s="35"/>
      <c r="C85" s="35"/>
      <c r="D85" s="32"/>
      <c r="E85" s="32"/>
      <c r="F85" s="32"/>
      <c r="G85" s="32"/>
      <c r="H85" s="35"/>
      <c r="I85" s="50"/>
      <c r="J85" s="35"/>
      <c r="K85" s="41"/>
      <c r="L85" s="44"/>
      <c r="M85" s="22">
        <v>46235</v>
      </c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30"/>
      <c r="AN85" s="21"/>
      <c r="AO85" s="21"/>
      <c r="AP85" s="21"/>
      <c r="AQ85" s="21"/>
      <c r="AR85" s="21"/>
      <c r="AS85" s="23">
        <f>SUM(N85:AR85)</f>
        <v>0</v>
      </c>
      <c r="AT85" s="14"/>
      <c r="AU85" s="9"/>
      <c r="AV85" s="12"/>
      <c r="AW85" s="12"/>
    </row>
    <row r="86" spans="1:49" ht="24.75" customHeight="1">
      <c r="A86" s="47"/>
      <c r="B86" s="35"/>
      <c r="C86" s="35"/>
      <c r="D86" s="32"/>
      <c r="E86" s="32"/>
      <c r="F86" s="32"/>
      <c r="G86" s="32"/>
      <c r="H86" s="35"/>
      <c r="I86" s="50"/>
      <c r="J86" s="35"/>
      <c r="K86" s="41"/>
      <c r="L86" s="44"/>
      <c r="M86" s="22">
        <v>46266</v>
      </c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3">
        <f>SUM(N86:AQ86)</f>
        <v>0</v>
      </c>
      <c r="AT86" s="14"/>
      <c r="AU86" s="9"/>
      <c r="AV86" s="12"/>
      <c r="AW86" s="12"/>
    </row>
    <row r="87" spans="1:49" ht="24.75" customHeight="1">
      <c r="A87" s="48"/>
      <c r="B87" s="36"/>
      <c r="C87" s="36"/>
      <c r="D87" s="33"/>
      <c r="E87" s="33"/>
      <c r="F87" s="33"/>
      <c r="G87" s="33"/>
      <c r="H87" s="36"/>
      <c r="I87" s="51"/>
      <c r="J87" s="36"/>
      <c r="K87" s="42"/>
      <c r="L87" s="45"/>
      <c r="M87" s="22">
        <v>46296</v>
      </c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29">
        <f>SUM(N87:AR87)</f>
        <v>0</v>
      </c>
      <c r="AT87" s="14"/>
      <c r="AU87" s="9"/>
      <c r="AV87" s="12"/>
      <c r="AW87" s="12"/>
    </row>
    <row r="88" spans="1:49" ht="24.75" customHeight="1">
      <c r="A88" s="46">
        <v>11</v>
      </c>
      <c r="B88" s="34" t="s">
        <v>36</v>
      </c>
      <c r="C88" s="34" t="s">
        <v>33</v>
      </c>
      <c r="D88" s="31">
        <v>0.23958333333333334</v>
      </c>
      <c r="E88" s="31">
        <v>0.2986111111111111</v>
      </c>
      <c r="F88" s="31"/>
      <c r="G88" s="31"/>
      <c r="H88" s="34" t="s">
        <v>76</v>
      </c>
      <c r="I88" s="49" t="s">
        <v>82</v>
      </c>
      <c r="J88" s="34" t="s">
        <v>21</v>
      </c>
      <c r="K88" s="40" t="s">
        <v>22</v>
      </c>
      <c r="L88" s="43" t="s">
        <v>23</v>
      </c>
      <c r="M88" s="27">
        <v>46082</v>
      </c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3">
        <f>SUM(N88:AR88)</f>
        <v>0</v>
      </c>
      <c r="AT88" s="14"/>
      <c r="AU88" s="9"/>
      <c r="AV88" s="12"/>
      <c r="AW88" s="12"/>
    </row>
    <row r="89" spans="1:49" ht="24.75" customHeight="1">
      <c r="A89" s="47"/>
      <c r="B89" s="35"/>
      <c r="C89" s="35"/>
      <c r="D89" s="32"/>
      <c r="E89" s="32"/>
      <c r="F89" s="32"/>
      <c r="G89" s="32"/>
      <c r="H89" s="35"/>
      <c r="I89" s="50"/>
      <c r="J89" s="35"/>
      <c r="K89" s="41"/>
      <c r="L89" s="44"/>
      <c r="M89" s="27">
        <v>46116</v>
      </c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3">
        <f t="shared" ref="AS89:AS91" si="10">SUM(N89:AR89)</f>
        <v>0</v>
      </c>
      <c r="AT89" s="14"/>
      <c r="AU89" s="9"/>
      <c r="AV89" s="12"/>
      <c r="AW89" s="12"/>
    </row>
    <row r="90" spans="1:49" ht="24.75" customHeight="1">
      <c r="A90" s="47"/>
      <c r="B90" s="35"/>
      <c r="C90" s="35"/>
      <c r="D90" s="32"/>
      <c r="E90" s="32"/>
      <c r="F90" s="32"/>
      <c r="G90" s="32"/>
      <c r="H90" s="35"/>
      <c r="I90" s="50"/>
      <c r="J90" s="35"/>
      <c r="K90" s="41"/>
      <c r="L90" s="44"/>
      <c r="M90" s="22" t="s">
        <v>78</v>
      </c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3">
        <f t="shared" si="10"/>
        <v>0</v>
      </c>
      <c r="AT90" s="14"/>
      <c r="AU90" s="9"/>
      <c r="AV90" s="12"/>
      <c r="AW90" s="12"/>
    </row>
    <row r="91" spans="1:49" ht="24.75" customHeight="1">
      <c r="A91" s="47"/>
      <c r="B91" s="35"/>
      <c r="C91" s="35"/>
      <c r="D91" s="32"/>
      <c r="E91" s="32"/>
      <c r="F91" s="32"/>
      <c r="G91" s="32"/>
      <c r="H91" s="35"/>
      <c r="I91" s="50"/>
      <c r="J91" s="35"/>
      <c r="K91" s="41"/>
      <c r="L91" s="44"/>
      <c r="M91" s="27">
        <v>46174</v>
      </c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30"/>
      <c r="AN91" s="28"/>
      <c r="AO91" s="28"/>
      <c r="AP91" s="28"/>
      <c r="AQ91" s="28"/>
      <c r="AR91" s="28"/>
      <c r="AS91" s="23">
        <f t="shared" si="10"/>
        <v>0</v>
      </c>
      <c r="AT91" s="14"/>
      <c r="AU91" s="9"/>
      <c r="AV91" s="12"/>
      <c r="AW91" s="12"/>
    </row>
    <row r="92" spans="1:49" ht="24.75" customHeight="1">
      <c r="A92" s="47"/>
      <c r="B92" s="35"/>
      <c r="C92" s="35"/>
      <c r="D92" s="32"/>
      <c r="E92" s="32"/>
      <c r="F92" s="32"/>
      <c r="G92" s="32"/>
      <c r="H92" s="35"/>
      <c r="I92" s="50"/>
      <c r="J92" s="35"/>
      <c r="K92" s="41"/>
      <c r="L92" s="44"/>
      <c r="M92" s="22">
        <v>46204</v>
      </c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30"/>
      <c r="AN92" s="21"/>
      <c r="AO92" s="21"/>
      <c r="AP92" s="21"/>
      <c r="AQ92" s="21"/>
      <c r="AR92" s="21"/>
      <c r="AS92" s="23">
        <f>SUM(N92:AR92)</f>
        <v>0</v>
      </c>
      <c r="AT92" s="14"/>
      <c r="AU92" s="9"/>
      <c r="AV92" s="12"/>
      <c r="AW92" s="12"/>
    </row>
    <row r="93" spans="1:49" ht="24.75" customHeight="1">
      <c r="A93" s="47"/>
      <c r="B93" s="35"/>
      <c r="C93" s="35"/>
      <c r="D93" s="32"/>
      <c r="E93" s="32"/>
      <c r="F93" s="32"/>
      <c r="G93" s="32"/>
      <c r="H93" s="35"/>
      <c r="I93" s="50"/>
      <c r="J93" s="35"/>
      <c r="K93" s="41"/>
      <c r="L93" s="44"/>
      <c r="M93" s="22">
        <v>46235</v>
      </c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30"/>
      <c r="AN93" s="21"/>
      <c r="AO93" s="21"/>
      <c r="AP93" s="21"/>
      <c r="AQ93" s="21"/>
      <c r="AR93" s="21"/>
      <c r="AS93" s="23">
        <f>SUM(N93:AR93)</f>
        <v>0</v>
      </c>
      <c r="AT93" s="14"/>
      <c r="AU93" s="9"/>
      <c r="AV93" s="12"/>
      <c r="AW93" s="12"/>
    </row>
    <row r="94" spans="1:49" ht="24.75" customHeight="1">
      <c r="A94" s="47"/>
      <c r="B94" s="35"/>
      <c r="C94" s="35"/>
      <c r="D94" s="32"/>
      <c r="E94" s="32"/>
      <c r="F94" s="32"/>
      <c r="G94" s="32"/>
      <c r="H94" s="35"/>
      <c r="I94" s="50"/>
      <c r="J94" s="35"/>
      <c r="K94" s="41"/>
      <c r="L94" s="44"/>
      <c r="M94" s="22">
        <v>46266</v>
      </c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3">
        <f>SUM(N94:AQ94)</f>
        <v>0</v>
      </c>
      <c r="AT94" s="14"/>
      <c r="AU94" s="9"/>
      <c r="AV94" s="12"/>
      <c r="AW94" s="12"/>
    </row>
    <row r="95" spans="1:49" ht="24.75" customHeight="1">
      <c r="A95" s="48"/>
      <c r="B95" s="36"/>
      <c r="C95" s="36"/>
      <c r="D95" s="33"/>
      <c r="E95" s="33"/>
      <c r="F95" s="33"/>
      <c r="G95" s="33"/>
      <c r="H95" s="36"/>
      <c r="I95" s="51"/>
      <c r="J95" s="36"/>
      <c r="K95" s="42"/>
      <c r="L95" s="45"/>
      <c r="M95" s="22">
        <v>46296</v>
      </c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29">
        <f>SUM(N95:AR95)</f>
        <v>0</v>
      </c>
      <c r="AT95" s="14"/>
      <c r="AU95" s="9"/>
      <c r="AV95" s="12"/>
      <c r="AW95" s="12"/>
    </row>
    <row r="96" spans="1:49" ht="24.75" customHeight="1">
      <c r="A96" s="46">
        <v>12</v>
      </c>
      <c r="B96" s="34" t="s">
        <v>37</v>
      </c>
      <c r="C96" s="34" t="s">
        <v>33</v>
      </c>
      <c r="D96" s="31">
        <v>0.94097222222222199</v>
      </c>
      <c r="E96" s="31">
        <v>6.9444444444444397E-3</v>
      </c>
      <c r="F96" s="31"/>
      <c r="G96" s="31"/>
      <c r="H96" s="34" t="s">
        <v>76</v>
      </c>
      <c r="I96" s="49" t="s">
        <v>82</v>
      </c>
      <c r="J96" s="34" t="s">
        <v>21</v>
      </c>
      <c r="K96" s="40" t="s">
        <v>22</v>
      </c>
      <c r="L96" s="43" t="s">
        <v>23</v>
      </c>
      <c r="M96" s="27">
        <v>46082</v>
      </c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3">
        <f>SUM(N96:AR96)</f>
        <v>0</v>
      </c>
      <c r="AT96" s="14"/>
      <c r="AU96" s="9"/>
      <c r="AV96" s="12"/>
      <c r="AW96" s="12"/>
    </row>
    <row r="97" spans="1:49" ht="24.75" customHeight="1">
      <c r="A97" s="47"/>
      <c r="B97" s="35"/>
      <c r="C97" s="35"/>
      <c r="D97" s="32"/>
      <c r="E97" s="32"/>
      <c r="F97" s="32"/>
      <c r="G97" s="32"/>
      <c r="H97" s="35"/>
      <c r="I97" s="50"/>
      <c r="J97" s="35"/>
      <c r="K97" s="41"/>
      <c r="L97" s="44"/>
      <c r="M97" s="27">
        <v>46116</v>
      </c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3">
        <f t="shared" ref="AS97:AS99" si="11">SUM(N97:AR97)</f>
        <v>0</v>
      </c>
      <c r="AT97" s="14"/>
      <c r="AU97" s="9"/>
      <c r="AV97" s="12"/>
      <c r="AW97" s="12"/>
    </row>
    <row r="98" spans="1:49" ht="24.75" customHeight="1">
      <c r="A98" s="47"/>
      <c r="B98" s="35"/>
      <c r="C98" s="35"/>
      <c r="D98" s="32"/>
      <c r="E98" s="32"/>
      <c r="F98" s="32"/>
      <c r="G98" s="32"/>
      <c r="H98" s="35"/>
      <c r="I98" s="50"/>
      <c r="J98" s="35"/>
      <c r="K98" s="41"/>
      <c r="L98" s="44"/>
      <c r="M98" s="22" t="s">
        <v>78</v>
      </c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3">
        <f t="shared" si="11"/>
        <v>0</v>
      </c>
      <c r="AT98" s="14"/>
      <c r="AU98" s="9"/>
      <c r="AV98" s="12"/>
      <c r="AW98" s="12"/>
    </row>
    <row r="99" spans="1:49" ht="24.75" customHeight="1">
      <c r="A99" s="47"/>
      <c r="B99" s="35"/>
      <c r="C99" s="35"/>
      <c r="D99" s="32"/>
      <c r="E99" s="32"/>
      <c r="F99" s="32"/>
      <c r="G99" s="32"/>
      <c r="H99" s="35"/>
      <c r="I99" s="50"/>
      <c r="J99" s="35"/>
      <c r="K99" s="41"/>
      <c r="L99" s="44"/>
      <c r="M99" s="27">
        <v>46174</v>
      </c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30"/>
      <c r="AN99" s="28"/>
      <c r="AO99" s="28"/>
      <c r="AP99" s="28"/>
      <c r="AQ99" s="28"/>
      <c r="AR99" s="28"/>
      <c r="AS99" s="23">
        <f t="shared" si="11"/>
        <v>0</v>
      </c>
      <c r="AT99" s="14"/>
      <c r="AU99" s="9"/>
      <c r="AV99" s="12"/>
      <c r="AW99" s="12"/>
    </row>
    <row r="100" spans="1:49" ht="24.75" customHeight="1">
      <c r="A100" s="47"/>
      <c r="B100" s="35"/>
      <c r="C100" s="35"/>
      <c r="D100" s="32"/>
      <c r="E100" s="32"/>
      <c r="F100" s="32"/>
      <c r="G100" s="32"/>
      <c r="H100" s="35"/>
      <c r="I100" s="50"/>
      <c r="J100" s="35"/>
      <c r="K100" s="41"/>
      <c r="L100" s="44"/>
      <c r="M100" s="22">
        <v>46204</v>
      </c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30"/>
      <c r="AN100" s="21"/>
      <c r="AO100" s="21"/>
      <c r="AP100" s="21"/>
      <c r="AQ100" s="21"/>
      <c r="AR100" s="21"/>
      <c r="AS100" s="23">
        <f>SUM(N100:AR100)</f>
        <v>0</v>
      </c>
      <c r="AT100" s="14"/>
      <c r="AU100" s="9"/>
      <c r="AV100" s="12"/>
      <c r="AW100" s="12"/>
    </row>
    <row r="101" spans="1:49" ht="24.75" customHeight="1">
      <c r="A101" s="47"/>
      <c r="B101" s="35"/>
      <c r="C101" s="35"/>
      <c r="D101" s="32"/>
      <c r="E101" s="32"/>
      <c r="F101" s="32"/>
      <c r="G101" s="32"/>
      <c r="H101" s="35"/>
      <c r="I101" s="50"/>
      <c r="J101" s="35"/>
      <c r="K101" s="41"/>
      <c r="L101" s="44"/>
      <c r="M101" s="22">
        <v>46235</v>
      </c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30"/>
      <c r="AN101" s="21"/>
      <c r="AO101" s="21"/>
      <c r="AP101" s="21"/>
      <c r="AQ101" s="21"/>
      <c r="AR101" s="21"/>
      <c r="AS101" s="23">
        <f>SUM(N101:AR101)</f>
        <v>0</v>
      </c>
      <c r="AT101" s="14"/>
      <c r="AU101" s="9"/>
      <c r="AV101" s="12"/>
      <c r="AW101" s="12"/>
    </row>
    <row r="102" spans="1:49" ht="24.75" customHeight="1">
      <c r="A102" s="47"/>
      <c r="B102" s="35"/>
      <c r="C102" s="35"/>
      <c r="D102" s="32"/>
      <c r="E102" s="32"/>
      <c r="F102" s="32"/>
      <c r="G102" s="32"/>
      <c r="H102" s="35"/>
      <c r="I102" s="50"/>
      <c r="J102" s="35"/>
      <c r="K102" s="41"/>
      <c r="L102" s="44"/>
      <c r="M102" s="22">
        <v>46266</v>
      </c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3">
        <f>SUM(N102:AQ102)</f>
        <v>0</v>
      </c>
      <c r="AT102" s="14"/>
      <c r="AU102" s="9"/>
      <c r="AV102" s="12"/>
      <c r="AW102" s="12"/>
    </row>
    <row r="103" spans="1:49" ht="24.75" customHeight="1">
      <c r="A103" s="48"/>
      <c r="B103" s="36"/>
      <c r="C103" s="36"/>
      <c r="D103" s="33"/>
      <c r="E103" s="33"/>
      <c r="F103" s="33"/>
      <c r="G103" s="33"/>
      <c r="H103" s="36"/>
      <c r="I103" s="51"/>
      <c r="J103" s="36"/>
      <c r="K103" s="42"/>
      <c r="L103" s="45"/>
      <c r="M103" s="22">
        <v>46296</v>
      </c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29">
        <f>SUM(N103:AR103)</f>
        <v>0</v>
      </c>
      <c r="AT103" s="14"/>
      <c r="AU103" s="9"/>
      <c r="AV103" s="12"/>
      <c r="AW103" s="12"/>
    </row>
    <row r="104" spans="1:49" ht="24.75" customHeight="1">
      <c r="A104" s="46">
        <v>13</v>
      </c>
      <c r="B104" s="34" t="s">
        <v>38</v>
      </c>
      <c r="C104" s="34" t="s">
        <v>33</v>
      </c>
      <c r="D104" s="31">
        <v>0.1388888888888889</v>
      </c>
      <c r="E104" s="31">
        <v>0.19791666666666666</v>
      </c>
      <c r="F104" s="31"/>
      <c r="G104" s="31"/>
      <c r="H104" s="34" t="s">
        <v>98</v>
      </c>
      <c r="I104" s="49" t="s">
        <v>82</v>
      </c>
      <c r="J104" s="34" t="s">
        <v>21</v>
      </c>
      <c r="K104" s="40" t="s">
        <v>39</v>
      </c>
      <c r="L104" s="43" t="s">
        <v>23</v>
      </c>
      <c r="M104" s="27">
        <v>46082</v>
      </c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3">
        <f>SUM(N104:AR104)</f>
        <v>0</v>
      </c>
      <c r="AT104" s="14"/>
      <c r="AU104" s="9"/>
      <c r="AV104" s="12"/>
      <c r="AW104" s="12"/>
    </row>
    <row r="105" spans="1:49" ht="24.75" customHeight="1">
      <c r="A105" s="47"/>
      <c r="B105" s="35"/>
      <c r="C105" s="35"/>
      <c r="D105" s="32"/>
      <c r="E105" s="32"/>
      <c r="F105" s="32"/>
      <c r="G105" s="32"/>
      <c r="H105" s="35"/>
      <c r="I105" s="50"/>
      <c r="J105" s="35"/>
      <c r="K105" s="41"/>
      <c r="L105" s="44"/>
      <c r="M105" s="27">
        <v>46116</v>
      </c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3">
        <f t="shared" ref="AS105:AS107" si="12">SUM(N105:AR105)</f>
        <v>0</v>
      </c>
      <c r="AT105" s="14"/>
      <c r="AU105" s="9"/>
      <c r="AV105" s="12"/>
      <c r="AW105" s="12"/>
    </row>
    <row r="106" spans="1:49" ht="24.75" customHeight="1">
      <c r="A106" s="47"/>
      <c r="B106" s="35"/>
      <c r="C106" s="35"/>
      <c r="D106" s="32"/>
      <c r="E106" s="32"/>
      <c r="F106" s="32"/>
      <c r="G106" s="32"/>
      <c r="H106" s="35"/>
      <c r="I106" s="50"/>
      <c r="J106" s="35"/>
      <c r="K106" s="41"/>
      <c r="L106" s="44"/>
      <c r="M106" s="22" t="s">
        <v>78</v>
      </c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3">
        <f t="shared" si="12"/>
        <v>0</v>
      </c>
      <c r="AT106" s="14"/>
      <c r="AU106" s="9"/>
      <c r="AV106" s="12"/>
      <c r="AW106" s="12"/>
    </row>
    <row r="107" spans="1:49" ht="24.75" customHeight="1">
      <c r="A107" s="47"/>
      <c r="B107" s="35"/>
      <c r="C107" s="35"/>
      <c r="D107" s="32"/>
      <c r="E107" s="32"/>
      <c r="F107" s="32"/>
      <c r="G107" s="32"/>
      <c r="H107" s="35"/>
      <c r="I107" s="50"/>
      <c r="J107" s="35"/>
      <c r="K107" s="41"/>
      <c r="L107" s="44"/>
      <c r="M107" s="27">
        <v>46174</v>
      </c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3">
        <f t="shared" si="12"/>
        <v>0</v>
      </c>
      <c r="AT107" s="14"/>
      <c r="AU107" s="9"/>
      <c r="AV107" s="12"/>
      <c r="AW107" s="12"/>
    </row>
    <row r="108" spans="1:49" ht="24.75" customHeight="1">
      <c r="A108" s="47"/>
      <c r="B108" s="35"/>
      <c r="C108" s="35"/>
      <c r="D108" s="32"/>
      <c r="E108" s="32"/>
      <c r="F108" s="32"/>
      <c r="G108" s="32"/>
      <c r="H108" s="35"/>
      <c r="I108" s="50"/>
      <c r="J108" s="35"/>
      <c r="K108" s="41"/>
      <c r="L108" s="44"/>
      <c r="M108" s="22">
        <v>46204</v>
      </c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1"/>
      <c r="AS108" s="23">
        <f>SUM(N108:AR108)</f>
        <v>0</v>
      </c>
      <c r="AT108" s="14"/>
      <c r="AU108" s="9"/>
      <c r="AV108" s="12"/>
      <c r="AW108" s="12"/>
    </row>
    <row r="109" spans="1:49" ht="24.75" customHeight="1">
      <c r="A109" s="47"/>
      <c r="B109" s="35"/>
      <c r="C109" s="35"/>
      <c r="D109" s="32"/>
      <c r="E109" s="32"/>
      <c r="F109" s="32"/>
      <c r="G109" s="32"/>
      <c r="H109" s="35"/>
      <c r="I109" s="50"/>
      <c r="J109" s="35"/>
      <c r="K109" s="41"/>
      <c r="L109" s="44"/>
      <c r="M109" s="22">
        <v>46235</v>
      </c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1"/>
      <c r="AS109" s="23">
        <f>SUM(N109:AR109)</f>
        <v>0</v>
      </c>
      <c r="AT109" s="14"/>
      <c r="AU109" s="9"/>
      <c r="AV109" s="12"/>
      <c r="AW109" s="12"/>
    </row>
    <row r="110" spans="1:49" ht="24.75" customHeight="1">
      <c r="A110" s="47"/>
      <c r="B110" s="35"/>
      <c r="C110" s="35"/>
      <c r="D110" s="32"/>
      <c r="E110" s="32"/>
      <c r="F110" s="32"/>
      <c r="G110" s="32"/>
      <c r="H110" s="35"/>
      <c r="I110" s="50"/>
      <c r="J110" s="35"/>
      <c r="K110" s="41"/>
      <c r="L110" s="44"/>
      <c r="M110" s="22">
        <v>46266</v>
      </c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1"/>
      <c r="AS110" s="23">
        <f>SUM(N110:AQ110)</f>
        <v>0</v>
      </c>
      <c r="AT110" s="14"/>
      <c r="AU110" s="9"/>
      <c r="AV110" s="12"/>
      <c r="AW110" s="12"/>
    </row>
    <row r="111" spans="1:49" ht="24.75" customHeight="1">
      <c r="A111" s="48"/>
      <c r="B111" s="36"/>
      <c r="C111" s="36"/>
      <c r="D111" s="33"/>
      <c r="E111" s="33"/>
      <c r="F111" s="33"/>
      <c r="G111" s="33"/>
      <c r="H111" s="36"/>
      <c r="I111" s="51"/>
      <c r="J111" s="36"/>
      <c r="K111" s="42"/>
      <c r="L111" s="45"/>
      <c r="M111" s="22">
        <v>46296</v>
      </c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30"/>
      <c r="AS111" s="29">
        <f>SUM(N111:AR111)</f>
        <v>0</v>
      </c>
      <c r="AT111" s="14"/>
      <c r="AU111" s="9"/>
      <c r="AV111" s="12"/>
      <c r="AW111" s="12"/>
    </row>
    <row r="112" spans="1:49" ht="24.75" customHeight="1">
      <c r="A112" s="46">
        <v>14</v>
      </c>
      <c r="B112" s="34" t="s">
        <v>40</v>
      </c>
      <c r="C112" s="34" t="s">
        <v>33</v>
      </c>
      <c r="D112" s="31">
        <v>0.30555555555555552</v>
      </c>
      <c r="E112" s="31">
        <v>0.37152777777777773</v>
      </c>
      <c r="F112" s="31"/>
      <c r="G112" s="31"/>
      <c r="H112" s="34" t="s">
        <v>76</v>
      </c>
      <c r="I112" s="37" t="s">
        <v>82</v>
      </c>
      <c r="J112" s="34" t="s">
        <v>21</v>
      </c>
      <c r="K112" s="40" t="s">
        <v>22</v>
      </c>
      <c r="L112" s="43" t="s">
        <v>23</v>
      </c>
      <c r="M112" s="27">
        <v>46082</v>
      </c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3">
        <f>SUM(N112:AR112)</f>
        <v>0</v>
      </c>
      <c r="AT112" s="14"/>
      <c r="AU112" s="9"/>
      <c r="AV112" s="12"/>
      <c r="AW112" s="12"/>
    </row>
    <row r="113" spans="1:49" ht="24.75" customHeight="1">
      <c r="A113" s="47"/>
      <c r="B113" s="35"/>
      <c r="C113" s="35"/>
      <c r="D113" s="32"/>
      <c r="E113" s="32"/>
      <c r="F113" s="32"/>
      <c r="G113" s="32"/>
      <c r="H113" s="35"/>
      <c r="I113" s="38"/>
      <c r="J113" s="35"/>
      <c r="K113" s="41"/>
      <c r="L113" s="44"/>
      <c r="M113" s="27">
        <v>46116</v>
      </c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3">
        <f t="shared" ref="AS113:AS115" si="13">SUM(N113:AR113)</f>
        <v>0</v>
      </c>
      <c r="AT113" s="14"/>
      <c r="AU113" s="9"/>
      <c r="AV113" s="12"/>
      <c r="AW113" s="12"/>
    </row>
    <row r="114" spans="1:49" ht="24.75" customHeight="1">
      <c r="A114" s="47"/>
      <c r="B114" s="35"/>
      <c r="C114" s="35"/>
      <c r="D114" s="32"/>
      <c r="E114" s="32"/>
      <c r="F114" s="32"/>
      <c r="G114" s="32"/>
      <c r="H114" s="35"/>
      <c r="I114" s="38"/>
      <c r="J114" s="35"/>
      <c r="K114" s="41"/>
      <c r="L114" s="44"/>
      <c r="M114" s="22" t="s">
        <v>78</v>
      </c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3">
        <f t="shared" si="13"/>
        <v>0</v>
      </c>
      <c r="AT114" s="14"/>
      <c r="AU114" s="9"/>
      <c r="AV114" s="12"/>
      <c r="AW114" s="12"/>
    </row>
    <row r="115" spans="1:49" ht="24.75" customHeight="1">
      <c r="A115" s="47"/>
      <c r="B115" s="35"/>
      <c r="C115" s="35"/>
      <c r="D115" s="32"/>
      <c r="E115" s="32"/>
      <c r="F115" s="32"/>
      <c r="G115" s="32"/>
      <c r="H115" s="35"/>
      <c r="I115" s="38"/>
      <c r="J115" s="35"/>
      <c r="K115" s="41"/>
      <c r="L115" s="44"/>
      <c r="M115" s="27">
        <v>46174</v>
      </c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30"/>
      <c r="AN115" s="28"/>
      <c r="AO115" s="28"/>
      <c r="AP115" s="28"/>
      <c r="AQ115" s="28"/>
      <c r="AR115" s="28"/>
      <c r="AS115" s="23">
        <f t="shared" si="13"/>
        <v>0</v>
      </c>
      <c r="AT115" s="14"/>
      <c r="AU115" s="9"/>
      <c r="AV115" s="12"/>
      <c r="AW115" s="12"/>
    </row>
    <row r="116" spans="1:49" ht="24.75" customHeight="1">
      <c r="A116" s="47"/>
      <c r="B116" s="35"/>
      <c r="C116" s="35"/>
      <c r="D116" s="32"/>
      <c r="E116" s="32"/>
      <c r="F116" s="32"/>
      <c r="G116" s="32"/>
      <c r="H116" s="35"/>
      <c r="I116" s="38"/>
      <c r="J116" s="35"/>
      <c r="K116" s="41"/>
      <c r="L116" s="44"/>
      <c r="M116" s="22">
        <v>46204</v>
      </c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30"/>
      <c r="AN116" s="21"/>
      <c r="AO116" s="21"/>
      <c r="AP116" s="21"/>
      <c r="AQ116" s="21"/>
      <c r="AR116" s="21"/>
      <c r="AS116" s="23">
        <f>SUM(N116:AR116)</f>
        <v>0</v>
      </c>
      <c r="AT116" s="14"/>
      <c r="AU116" s="9"/>
      <c r="AV116" s="12"/>
      <c r="AW116" s="12"/>
    </row>
    <row r="117" spans="1:49" ht="24.75" customHeight="1">
      <c r="A117" s="47"/>
      <c r="B117" s="35"/>
      <c r="C117" s="35"/>
      <c r="D117" s="32"/>
      <c r="E117" s="32"/>
      <c r="F117" s="32"/>
      <c r="G117" s="32"/>
      <c r="H117" s="35"/>
      <c r="I117" s="38"/>
      <c r="J117" s="35"/>
      <c r="K117" s="41"/>
      <c r="L117" s="44"/>
      <c r="M117" s="22">
        <v>46235</v>
      </c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30"/>
      <c r="AN117" s="21"/>
      <c r="AO117" s="21"/>
      <c r="AP117" s="21"/>
      <c r="AQ117" s="21"/>
      <c r="AR117" s="21"/>
      <c r="AS117" s="23">
        <f>SUM(N117:AR117)</f>
        <v>0</v>
      </c>
      <c r="AT117" s="14"/>
      <c r="AU117" s="9"/>
      <c r="AV117" s="12"/>
      <c r="AW117" s="12"/>
    </row>
    <row r="118" spans="1:49" ht="24.75" customHeight="1">
      <c r="A118" s="47"/>
      <c r="B118" s="35"/>
      <c r="C118" s="35"/>
      <c r="D118" s="32"/>
      <c r="E118" s="32"/>
      <c r="F118" s="32"/>
      <c r="G118" s="32"/>
      <c r="H118" s="35"/>
      <c r="I118" s="38"/>
      <c r="J118" s="35"/>
      <c r="K118" s="41"/>
      <c r="L118" s="44"/>
      <c r="M118" s="22">
        <v>46266</v>
      </c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3">
        <f>SUM(N118:AQ118)</f>
        <v>0</v>
      </c>
      <c r="AT118" s="14"/>
      <c r="AU118" s="9"/>
      <c r="AV118" s="12"/>
      <c r="AW118" s="12"/>
    </row>
    <row r="119" spans="1:49" ht="24.75" customHeight="1">
      <c r="A119" s="48"/>
      <c r="B119" s="36"/>
      <c r="C119" s="36"/>
      <c r="D119" s="33"/>
      <c r="E119" s="33"/>
      <c r="F119" s="33"/>
      <c r="G119" s="33"/>
      <c r="H119" s="36"/>
      <c r="I119" s="39"/>
      <c r="J119" s="36"/>
      <c r="K119" s="42"/>
      <c r="L119" s="45"/>
      <c r="M119" s="22">
        <v>46296</v>
      </c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29">
        <f>SUM(N119:AR119)</f>
        <v>0</v>
      </c>
      <c r="AT119" s="14"/>
      <c r="AU119" s="9"/>
      <c r="AV119" s="12"/>
      <c r="AW119" s="12"/>
    </row>
    <row r="120" spans="1:49" ht="24.75" customHeight="1">
      <c r="A120" s="46">
        <v>15</v>
      </c>
      <c r="B120" s="34" t="s">
        <v>83</v>
      </c>
      <c r="C120" s="34" t="s">
        <v>33</v>
      </c>
      <c r="D120" s="31">
        <v>9.375E-2</v>
      </c>
      <c r="E120" s="31">
        <v>0.15972222222222224</v>
      </c>
      <c r="F120" s="31"/>
      <c r="G120" s="31"/>
      <c r="H120" s="34" t="s">
        <v>76</v>
      </c>
      <c r="I120" s="37" t="s">
        <v>82</v>
      </c>
      <c r="J120" s="34" t="s">
        <v>21</v>
      </c>
      <c r="K120" s="40" t="s">
        <v>22</v>
      </c>
      <c r="L120" s="43" t="s">
        <v>23</v>
      </c>
      <c r="M120" s="27">
        <v>46082</v>
      </c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3">
        <f>SUM(N120:AR120)</f>
        <v>0</v>
      </c>
      <c r="AT120" s="14"/>
      <c r="AU120" s="9"/>
      <c r="AV120" s="12"/>
      <c r="AW120" s="12"/>
    </row>
    <row r="121" spans="1:49" ht="24.75" customHeight="1">
      <c r="A121" s="47"/>
      <c r="B121" s="35"/>
      <c r="C121" s="35"/>
      <c r="D121" s="32"/>
      <c r="E121" s="32"/>
      <c r="F121" s="32"/>
      <c r="G121" s="32"/>
      <c r="H121" s="35"/>
      <c r="I121" s="38"/>
      <c r="J121" s="35"/>
      <c r="K121" s="41"/>
      <c r="L121" s="44"/>
      <c r="M121" s="27">
        <v>46116</v>
      </c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3">
        <f t="shared" ref="AS121:AS123" si="14">SUM(N121:AR121)</f>
        <v>0</v>
      </c>
      <c r="AT121" s="14"/>
      <c r="AU121" s="9"/>
      <c r="AV121" s="12"/>
      <c r="AW121" s="12"/>
    </row>
    <row r="122" spans="1:49" ht="24.75" customHeight="1">
      <c r="A122" s="47"/>
      <c r="B122" s="35"/>
      <c r="C122" s="35"/>
      <c r="D122" s="32"/>
      <c r="E122" s="32"/>
      <c r="F122" s="32"/>
      <c r="G122" s="32"/>
      <c r="H122" s="35"/>
      <c r="I122" s="38"/>
      <c r="J122" s="35"/>
      <c r="K122" s="41"/>
      <c r="L122" s="44"/>
      <c r="M122" s="22" t="s">
        <v>78</v>
      </c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3">
        <f t="shared" si="14"/>
        <v>0</v>
      </c>
      <c r="AT122" s="14"/>
      <c r="AU122" s="9"/>
      <c r="AV122" s="12"/>
      <c r="AW122" s="12"/>
    </row>
    <row r="123" spans="1:49" ht="24.75" customHeight="1">
      <c r="A123" s="47"/>
      <c r="B123" s="35"/>
      <c r="C123" s="35"/>
      <c r="D123" s="32"/>
      <c r="E123" s="32"/>
      <c r="F123" s="32"/>
      <c r="G123" s="32"/>
      <c r="H123" s="35"/>
      <c r="I123" s="38"/>
      <c r="J123" s="35"/>
      <c r="K123" s="41"/>
      <c r="L123" s="44"/>
      <c r="M123" s="27">
        <v>46174</v>
      </c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30"/>
      <c r="AN123" s="28"/>
      <c r="AO123" s="28"/>
      <c r="AP123" s="28"/>
      <c r="AQ123" s="28"/>
      <c r="AR123" s="28"/>
      <c r="AS123" s="23">
        <f t="shared" si="14"/>
        <v>0</v>
      </c>
      <c r="AT123" s="14"/>
      <c r="AU123" s="9"/>
      <c r="AV123" s="12"/>
      <c r="AW123" s="12"/>
    </row>
    <row r="124" spans="1:49" ht="24.75" customHeight="1">
      <c r="A124" s="47"/>
      <c r="B124" s="35"/>
      <c r="C124" s="35"/>
      <c r="D124" s="32"/>
      <c r="E124" s="32"/>
      <c r="F124" s="32"/>
      <c r="G124" s="32"/>
      <c r="H124" s="35"/>
      <c r="I124" s="38"/>
      <c r="J124" s="35"/>
      <c r="K124" s="41"/>
      <c r="L124" s="44"/>
      <c r="M124" s="22">
        <v>46204</v>
      </c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30"/>
      <c r="AN124" s="21"/>
      <c r="AO124" s="21"/>
      <c r="AP124" s="21"/>
      <c r="AQ124" s="21"/>
      <c r="AR124" s="21"/>
      <c r="AS124" s="23">
        <f>SUM(N124:AR124)</f>
        <v>0</v>
      </c>
      <c r="AT124" s="14"/>
      <c r="AU124" s="9"/>
      <c r="AV124" s="12"/>
      <c r="AW124" s="12"/>
    </row>
    <row r="125" spans="1:49" ht="24.75" customHeight="1">
      <c r="A125" s="47"/>
      <c r="B125" s="35"/>
      <c r="C125" s="35"/>
      <c r="D125" s="32"/>
      <c r="E125" s="32"/>
      <c r="F125" s="32"/>
      <c r="G125" s="32"/>
      <c r="H125" s="35"/>
      <c r="I125" s="38"/>
      <c r="J125" s="35"/>
      <c r="K125" s="41"/>
      <c r="L125" s="44"/>
      <c r="M125" s="22">
        <v>46235</v>
      </c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30"/>
      <c r="AN125" s="21"/>
      <c r="AO125" s="21"/>
      <c r="AP125" s="21"/>
      <c r="AQ125" s="21"/>
      <c r="AR125" s="21"/>
      <c r="AS125" s="23">
        <f>SUM(N125:AR125)</f>
        <v>0</v>
      </c>
      <c r="AT125" s="14"/>
      <c r="AU125" s="9"/>
      <c r="AV125" s="12"/>
      <c r="AW125" s="12"/>
    </row>
    <row r="126" spans="1:49" ht="24.75" customHeight="1">
      <c r="A126" s="47"/>
      <c r="B126" s="35"/>
      <c r="C126" s="35"/>
      <c r="D126" s="32"/>
      <c r="E126" s="32"/>
      <c r="F126" s="32"/>
      <c r="G126" s="32"/>
      <c r="H126" s="35"/>
      <c r="I126" s="38"/>
      <c r="J126" s="35"/>
      <c r="K126" s="41"/>
      <c r="L126" s="44"/>
      <c r="M126" s="22">
        <v>46266</v>
      </c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3">
        <f>SUM(N126:AQ126)</f>
        <v>0</v>
      </c>
      <c r="AT126" s="14"/>
      <c r="AU126" s="9"/>
      <c r="AV126" s="12"/>
      <c r="AW126" s="12"/>
    </row>
    <row r="127" spans="1:49" ht="24.75" customHeight="1">
      <c r="A127" s="48"/>
      <c r="B127" s="36"/>
      <c r="C127" s="36"/>
      <c r="D127" s="33"/>
      <c r="E127" s="33"/>
      <c r="F127" s="33"/>
      <c r="G127" s="33"/>
      <c r="H127" s="36"/>
      <c r="I127" s="39"/>
      <c r="J127" s="36"/>
      <c r="K127" s="42"/>
      <c r="L127" s="45"/>
      <c r="M127" s="22">
        <v>46296</v>
      </c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29">
        <f>SUM(N127:AR127)</f>
        <v>0</v>
      </c>
      <c r="AT127" s="14"/>
      <c r="AU127" s="9"/>
      <c r="AV127" s="12"/>
      <c r="AW127" s="12"/>
    </row>
    <row r="128" spans="1:49" ht="24.75" customHeight="1">
      <c r="A128" s="46">
        <v>16</v>
      </c>
      <c r="B128" s="34" t="s">
        <v>84</v>
      </c>
      <c r="C128" s="34" t="s">
        <v>33</v>
      </c>
      <c r="D128" s="31">
        <v>0.16666666666666666</v>
      </c>
      <c r="E128" s="31">
        <v>0.23263888888888887</v>
      </c>
      <c r="F128" s="31"/>
      <c r="G128" s="31"/>
      <c r="H128" s="34" t="s">
        <v>76</v>
      </c>
      <c r="I128" s="37" t="s">
        <v>82</v>
      </c>
      <c r="J128" s="34" t="s">
        <v>21</v>
      </c>
      <c r="K128" s="40" t="s">
        <v>22</v>
      </c>
      <c r="L128" s="43" t="s">
        <v>23</v>
      </c>
      <c r="M128" s="27">
        <v>46082</v>
      </c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3">
        <f>SUM(N128:AR128)</f>
        <v>0</v>
      </c>
      <c r="AT128" s="14"/>
      <c r="AU128" s="9"/>
      <c r="AV128" s="12"/>
      <c r="AW128" s="12"/>
    </row>
    <row r="129" spans="1:49" ht="24.75" customHeight="1">
      <c r="A129" s="47"/>
      <c r="B129" s="35"/>
      <c r="C129" s="35"/>
      <c r="D129" s="32"/>
      <c r="E129" s="32"/>
      <c r="F129" s="32"/>
      <c r="G129" s="32"/>
      <c r="H129" s="35"/>
      <c r="I129" s="38"/>
      <c r="J129" s="35"/>
      <c r="K129" s="41"/>
      <c r="L129" s="44"/>
      <c r="M129" s="27">
        <v>46116</v>
      </c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3">
        <f t="shared" ref="AS129:AS131" si="15">SUM(N129:AR129)</f>
        <v>0</v>
      </c>
      <c r="AT129" s="14"/>
      <c r="AU129" s="9"/>
      <c r="AV129" s="12"/>
      <c r="AW129" s="12"/>
    </row>
    <row r="130" spans="1:49" ht="24.75" customHeight="1">
      <c r="A130" s="47"/>
      <c r="B130" s="35"/>
      <c r="C130" s="35"/>
      <c r="D130" s="32"/>
      <c r="E130" s="32"/>
      <c r="F130" s="32"/>
      <c r="G130" s="32"/>
      <c r="H130" s="35"/>
      <c r="I130" s="38"/>
      <c r="J130" s="35"/>
      <c r="K130" s="41"/>
      <c r="L130" s="44"/>
      <c r="M130" s="22" t="s">
        <v>78</v>
      </c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3">
        <f t="shared" si="15"/>
        <v>0</v>
      </c>
      <c r="AT130" s="14"/>
      <c r="AU130" s="9"/>
      <c r="AV130" s="12"/>
      <c r="AW130" s="12"/>
    </row>
    <row r="131" spans="1:49" ht="24.75" customHeight="1">
      <c r="A131" s="47"/>
      <c r="B131" s="35"/>
      <c r="C131" s="35"/>
      <c r="D131" s="32"/>
      <c r="E131" s="32"/>
      <c r="F131" s="32"/>
      <c r="G131" s="32"/>
      <c r="H131" s="35"/>
      <c r="I131" s="38"/>
      <c r="J131" s="35"/>
      <c r="K131" s="41"/>
      <c r="L131" s="44"/>
      <c r="M131" s="27">
        <v>46174</v>
      </c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30"/>
      <c r="AN131" s="28"/>
      <c r="AO131" s="28"/>
      <c r="AP131" s="28"/>
      <c r="AQ131" s="28"/>
      <c r="AR131" s="28"/>
      <c r="AS131" s="23">
        <f t="shared" si="15"/>
        <v>0</v>
      </c>
      <c r="AT131" s="14"/>
      <c r="AU131" s="9"/>
      <c r="AV131" s="12"/>
      <c r="AW131" s="12"/>
    </row>
    <row r="132" spans="1:49" ht="24.75" customHeight="1">
      <c r="A132" s="47"/>
      <c r="B132" s="35"/>
      <c r="C132" s="35"/>
      <c r="D132" s="32"/>
      <c r="E132" s="32"/>
      <c r="F132" s="32"/>
      <c r="G132" s="32"/>
      <c r="H132" s="35"/>
      <c r="I132" s="38"/>
      <c r="J132" s="35"/>
      <c r="K132" s="41"/>
      <c r="L132" s="44"/>
      <c r="M132" s="22">
        <v>46204</v>
      </c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30"/>
      <c r="AN132" s="21"/>
      <c r="AO132" s="21"/>
      <c r="AP132" s="21"/>
      <c r="AQ132" s="21"/>
      <c r="AR132" s="21"/>
      <c r="AS132" s="23">
        <f>SUM(N132:AR132)</f>
        <v>0</v>
      </c>
      <c r="AT132" s="14"/>
      <c r="AU132" s="9"/>
      <c r="AV132" s="12"/>
      <c r="AW132" s="12"/>
    </row>
    <row r="133" spans="1:49" ht="24.75" customHeight="1">
      <c r="A133" s="47"/>
      <c r="B133" s="35"/>
      <c r="C133" s="35"/>
      <c r="D133" s="32"/>
      <c r="E133" s="32"/>
      <c r="F133" s="32"/>
      <c r="G133" s="32"/>
      <c r="H133" s="35"/>
      <c r="I133" s="38"/>
      <c r="J133" s="35"/>
      <c r="K133" s="41"/>
      <c r="L133" s="44"/>
      <c r="M133" s="22">
        <v>46235</v>
      </c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30"/>
      <c r="AN133" s="21"/>
      <c r="AO133" s="21"/>
      <c r="AP133" s="21"/>
      <c r="AQ133" s="21"/>
      <c r="AR133" s="21"/>
      <c r="AS133" s="23">
        <f>SUM(N133:AR133)</f>
        <v>0</v>
      </c>
      <c r="AT133" s="14"/>
      <c r="AU133" s="9"/>
      <c r="AV133" s="12"/>
      <c r="AW133" s="12"/>
    </row>
    <row r="134" spans="1:49" ht="24.75" customHeight="1">
      <c r="A134" s="47"/>
      <c r="B134" s="35"/>
      <c r="C134" s="35"/>
      <c r="D134" s="32"/>
      <c r="E134" s="32"/>
      <c r="F134" s="32"/>
      <c r="G134" s="32"/>
      <c r="H134" s="35"/>
      <c r="I134" s="38"/>
      <c r="J134" s="35"/>
      <c r="K134" s="41"/>
      <c r="L134" s="44"/>
      <c r="M134" s="22">
        <v>46266</v>
      </c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3">
        <f>SUM(N134:AQ134)</f>
        <v>0</v>
      </c>
      <c r="AT134" s="14"/>
      <c r="AU134" s="9"/>
      <c r="AV134" s="12"/>
      <c r="AW134" s="12"/>
    </row>
    <row r="135" spans="1:49" ht="24.75" customHeight="1">
      <c r="A135" s="48"/>
      <c r="B135" s="36"/>
      <c r="C135" s="36"/>
      <c r="D135" s="33"/>
      <c r="E135" s="33"/>
      <c r="F135" s="33"/>
      <c r="G135" s="33"/>
      <c r="H135" s="36"/>
      <c r="I135" s="39"/>
      <c r="J135" s="36"/>
      <c r="K135" s="42"/>
      <c r="L135" s="45"/>
      <c r="M135" s="22">
        <v>46296</v>
      </c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29">
        <f>SUM(N135:AR135)</f>
        <v>0</v>
      </c>
      <c r="AT135" s="14"/>
      <c r="AU135" s="9"/>
      <c r="AV135" s="12"/>
      <c r="AW135" s="12"/>
    </row>
    <row r="136" spans="1:49" ht="24.75" customHeight="1">
      <c r="A136" s="46">
        <v>17</v>
      </c>
      <c r="B136" s="34" t="s">
        <v>41</v>
      </c>
      <c r="C136" s="34" t="s">
        <v>42</v>
      </c>
      <c r="D136" s="31">
        <v>0.40625</v>
      </c>
      <c r="E136" s="31">
        <v>0.4513888888888889</v>
      </c>
      <c r="F136" s="31"/>
      <c r="G136" s="31"/>
      <c r="H136" s="34" t="s">
        <v>76</v>
      </c>
      <c r="I136" s="49" t="s">
        <v>85</v>
      </c>
      <c r="J136" s="34" t="s">
        <v>21</v>
      </c>
      <c r="K136" s="40" t="s">
        <v>22</v>
      </c>
      <c r="L136" s="43" t="s">
        <v>23</v>
      </c>
      <c r="M136" s="27">
        <v>46082</v>
      </c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3">
        <f>SUM(N136:AR136)</f>
        <v>0</v>
      </c>
      <c r="AT136" s="14"/>
      <c r="AU136" s="9"/>
      <c r="AV136" s="12"/>
      <c r="AW136" s="12"/>
    </row>
    <row r="137" spans="1:49" ht="24.75" customHeight="1">
      <c r="A137" s="47"/>
      <c r="B137" s="35"/>
      <c r="C137" s="35"/>
      <c r="D137" s="32"/>
      <c r="E137" s="32"/>
      <c r="F137" s="32"/>
      <c r="G137" s="32"/>
      <c r="H137" s="35"/>
      <c r="I137" s="50"/>
      <c r="J137" s="35"/>
      <c r="K137" s="41"/>
      <c r="L137" s="44"/>
      <c r="M137" s="27">
        <v>46116</v>
      </c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3">
        <f t="shared" ref="AS137:AS139" si="16">SUM(N137:AR137)</f>
        <v>0</v>
      </c>
      <c r="AT137" s="14"/>
      <c r="AU137" s="9"/>
      <c r="AV137" s="12"/>
      <c r="AW137" s="12"/>
    </row>
    <row r="138" spans="1:49" ht="24.75" customHeight="1">
      <c r="A138" s="47"/>
      <c r="B138" s="35"/>
      <c r="C138" s="35"/>
      <c r="D138" s="32"/>
      <c r="E138" s="32"/>
      <c r="F138" s="32"/>
      <c r="G138" s="32"/>
      <c r="H138" s="35"/>
      <c r="I138" s="50"/>
      <c r="J138" s="35"/>
      <c r="K138" s="41"/>
      <c r="L138" s="44"/>
      <c r="M138" s="22" t="s">
        <v>78</v>
      </c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3">
        <f t="shared" si="16"/>
        <v>0</v>
      </c>
      <c r="AT138" s="14"/>
      <c r="AU138" s="9"/>
      <c r="AV138" s="12"/>
      <c r="AW138" s="12"/>
    </row>
    <row r="139" spans="1:49" ht="24.75" customHeight="1">
      <c r="A139" s="47"/>
      <c r="B139" s="35"/>
      <c r="C139" s="35"/>
      <c r="D139" s="32"/>
      <c r="E139" s="32"/>
      <c r="F139" s="32"/>
      <c r="G139" s="32"/>
      <c r="H139" s="35"/>
      <c r="I139" s="50"/>
      <c r="J139" s="35"/>
      <c r="K139" s="41"/>
      <c r="L139" s="44"/>
      <c r="M139" s="27">
        <v>46174</v>
      </c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30"/>
      <c r="AN139" s="28"/>
      <c r="AO139" s="28"/>
      <c r="AP139" s="28"/>
      <c r="AQ139" s="28"/>
      <c r="AR139" s="28"/>
      <c r="AS139" s="23">
        <f t="shared" si="16"/>
        <v>0</v>
      </c>
      <c r="AT139" s="14"/>
      <c r="AU139" s="9"/>
      <c r="AV139" s="12"/>
      <c r="AW139" s="12"/>
    </row>
    <row r="140" spans="1:49" ht="24.75" customHeight="1">
      <c r="A140" s="47"/>
      <c r="B140" s="35"/>
      <c r="C140" s="35"/>
      <c r="D140" s="32"/>
      <c r="E140" s="32"/>
      <c r="F140" s="32"/>
      <c r="G140" s="32"/>
      <c r="H140" s="35"/>
      <c r="I140" s="50"/>
      <c r="J140" s="35"/>
      <c r="K140" s="41"/>
      <c r="L140" s="44"/>
      <c r="M140" s="22">
        <v>46204</v>
      </c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30"/>
      <c r="AN140" s="21"/>
      <c r="AO140" s="21"/>
      <c r="AP140" s="21"/>
      <c r="AQ140" s="21"/>
      <c r="AR140" s="21"/>
      <c r="AS140" s="23">
        <f>SUM(N140:AR140)</f>
        <v>0</v>
      </c>
      <c r="AT140" s="14"/>
      <c r="AU140" s="9"/>
      <c r="AV140" s="12"/>
      <c r="AW140" s="12"/>
    </row>
    <row r="141" spans="1:49" ht="24.75" customHeight="1">
      <c r="A141" s="47"/>
      <c r="B141" s="35"/>
      <c r="C141" s="35"/>
      <c r="D141" s="32"/>
      <c r="E141" s="32"/>
      <c r="F141" s="32"/>
      <c r="G141" s="32"/>
      <c r="H141" s="35"/>
      <c r="I141" s="50"/>
      <c r="J141" s="35"/>
      <c r="K141" s="41"/>
      <c r="L141" s="44"/>
      <c r="M141" s="22">
        <v>46235</v>
      </c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30"/>
      <c r="AN141" s="21"/>
      <c r="AO141" s="21"/>
      <c r="AP141" s="21"/>
      <c r="AQ141" s="21"/>
      <c r="AR141" s="21"/>
      <c r="AS141" s="23">
        <f>SUM(N141:AR141)</f>
        <v>0</v>
      </c>
      <c r="AT141" s="14"/>
      <c r="AU141" s="9"/>
      <c r="AV141" s="12"/>
      <c r="AW141" s="12"/>
    </row>
    <row r="142" spans="1:49" ht="24.75" customHeight="1">
      <c r="A142" s="47"/>
      <c r="B142" s="35"/>
      <c r="C142" s="35"/>
      <c r="D142" s="32"/>
      <c r="E142" s="32"/>
      <c r="F142" s="32"/>
      <c r="G142" s="32"/>
      <c r="H142" s="35"/>
      <c r="I142" s="50"/>
      <c r="J142" s="35"/>
      <c r="K142" s="41"/>
      <c r="L142" s="44"/>
      <c r="M142" s="22">
        <v>46266</v>
      </c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3">
        <f>SUM(N142:AQ142)</f>
        <v>0</v>
      </c>
      <c r="AT142" s="14"/>
      <c r="AU142" s="9"/>
      <c r="AV142" s="12"/>
      <c r="AW142" s="12"/>
    </row>
    <row r="143" spans="1:49" ht="24.75" customHeight="1">
      <c r="A143" s="48"/>
      <c r="B143" s="36"/>
      <c r="C143" s="36"/>
      <c r="D143" s="33"/>
      <c r="E143" s="33"/>
      <c r="F143" s="33"/>
      <c r="G143" s="33"/>
      <c r="H143" s="36"/>
      <c r="I143" s="51"/>
      <c r="J143" s="36"/>
      <c r="K143" s="42"/>
      <c r="L143" s="45"/>
      <c r="M143" s="22">
        <v>46296</v>
      </c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29">
        <f>SUM(N143:AR143)</f>
        <v>0</v>
      </c>
      <c r="AT143" s="14"/>
      <c r="AU143" s="9"/>
      <c r="AV143" s="12"/>
      <c r="AW143" s="12"/>
    </row>
    <row r="144" spans="1:49" ht="24.75" customHeight="1">
      <c r="A144" s="46">
        <v>18</v>
      </c>
      <c r="B144" s="34" t="s">
        <v>43</v>
      </c>
      <c r="C144" s="34" t="s">
        <v>42</v>
      </c>
      <c r="D144" s="31">
        <v>0.53125</v>
      </c>
      <c r="E144" s="31">
        <v>0.57638888888888895</v>
      </c>
      <c r="F144" s="31"/>
      <c r="G144" s="31"/>
      <c r="H144" s="34" t="s">
        <v>76</v>
      </c>
      <c r="I144" s="49" t="s">
        <v>85</v>
      </c>
      <c r="J144" s="34" t="s">
        <v>21</v>
      </c>
      <c r="K144" s="40" t="s">
        <v>22</v>
      </c>
      <c r="L144" s="43" t="s">
        <v>23</v>
      </c>
      <c r="M144" s="27">
        <v>46082</v>
      </c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3">
        <f>SUM(N144:AR144)</f>
        <v>0</v>
      </c>
      <c r="AT144" s="14"/>
      <c r="AU144" s="9"/>
      <c r="AV144" s="12"/>
      <c r="AW144" s="12"/>
    </row>
    <row r="145" spans="1:49" ht="24.75" customHeight="1">
      <c r="A145" s="47"/>
      <c r="B145" s="35"/>
      <c r="C145" s="35"/>
      <c r="D145" s="32"/>
      <c r="E145" s="32"/>
      <c r="F145" s="32"/>
      <c r="G145" s="32"/>
      <c r="H145" s="35"/>
      <c r="I145" s="50"/>
      <c r="J145" s="35"/>
      <c r="K145" s="41"/>
      <c r="L145" s="44"/>
      <c r="M145" s="27">
        <v>46116</v>
      </c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3">
        <f t="shared" ref="AS145:AS147" si="17">SUM(N145:AR145)</f>
        <v>0</v>
      </c>
      <c r="AT145" s="14"/>
      <c r="AU145" s="9"/>
      <c r="AV145" s="12"/>
      <c r="AW145" s="12"/>
    </row>
    <row r="146" spans="1:49" ht="24.75" customHeight="1">
      <c r="A146" s="47"/>
      <c r="B146" s="35"/>
      <c r="C146" s="35"/>
      <c r="D146" s="32"/>
      <c r="E146" s="32"/>
      <c r="F146" s="32"/>
      <c r="G146" s="32"/>
      <c r="H146" s="35"/>
      <c r="I146" s="50"/>
      <c r="J146" s="35"/>
      <c r="K146" s="41"/>
      <c r="L146" s="44"/>
      <c r="M146" s="22" t="s">
        <v>78</v>
      </c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3">
        <f t="shared" si="17"/>
        <v>0</v>
      </c>
      <c r="AT146" s="14"/>
      <c r="AU146" s="9"/>
      <c r="AV146" s="12"/>
      <c r="AW146" s="12"/>
    </row>
    <row r="147" spans="1:49" ht="24.75" customHeight="1">
      <c r="A147" s="47"/>
      <c r="B147" s="35"/>
      <c r="C147" s="35"/>
      <c r="D147" s="32"/>
      <c r="E147" s="32"/>
      <c r="F147" s="32"/>
      <c r="G147" s="32"/>
      <c r="H147" s="35"/>
      <c r="I147" s="50"/>
      <c r="J147" s="35"/>
      <c r="K147" s="41"/>
      <c r="L147" s="44"/>
      <c r="M147" s="27">
        <v>46174</v>
      </c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30"/>
      <c r="AN147" s="28"/>
      <c r="AO147" s="28"/>
      <c r="AP147" s="28"/>
      <c r="AQ147" s="28"/>
      <c r="AR147" s="28"/>
      <c r="AS147" s="23">
        <f t="shared" si="17"/>
        <v>0</v>
      </c>
      <c r="AT147" s="14"/>
      <c r="AU147" s="9"/>
      <c r="AV147" s="12"/>
      <c r="AW147" s="12"/>
    </row>
    <row r="148" spans="1:49" ht="24.75" customHeight="1">
      <c r="A148" s="47"/>
      <c r="B148" s="35"/>
      <c r="C148" s="35"/>
      <c r="D148" s="32"/>
      <c r="E148" s="32"/>
      <c r="F148" s="32"/>
      <c r="G148" s="32"/>
      <c r="H148" s="35"/>
      <c r="I148" s="50"/>
      <c r="J148" s="35"/>
      <c r="K148" s="41"/>
      <c r="L148" s="44"/>
      <c r="M148" s="22">
        <v>46204</v>
      </c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30"/>
      <c r="AN148" s="21"/>
      <c r="AO148" s="21"/>
      <c r="AP148" s="21"/>
      <c r="AQ148" s="21"/>
      <c r="AR148" s="21"/>
      <c r="AS148" s="23">
        <f>SUM(N148:AR148)</f>
        <v>0</v>
      </c>
      <c r="AT148" s="14"/>
      <c r="AU148" s="9"/>
      <c r="AV148" s="12"/>
      <c r="AW148" s="12"/>
    </row>
    <row r="149" spans="1:49" ht="24.75" customHeight="1">
      <c r="A149" s="47"/>
      <c r="B149" s="35"/>
      <c r="C149" s="35"/>
      <c r="D149" s="32"/>
      <c r="E149" s="32"/>
      <c r="F149" s="32"/>
      <c r="G149" s="32"/>
      <c r="H149" s="35"/>
      <c r="I149" s="50"/>
      <c r="J149" s="35"/>
      <c r="K149" s="41"/>
      <c r="L149" s="44"/>
      <c r="M149" s="22">
        <v>46235</v>
      </c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30"/>
      <c r="AN149" s="21"/>
      <c r="AO149" s="21"/>
      <c r="AP149" s="21"/>
      <c r="AQ149" s="21"/>
      <c r="AR149" s="21"/>
      <c r="AS149" s="23">
        <f>SUM(N149:AR149)</f>
        <v>0</v>
      </c>
      <c r="AT149" s="14"/>
      <c r="AU149" s="9"/>
      <c r="AV149" s="12"/>
      <c r="AW149" s="12"/>
    </row>
    <row r="150" spans="1:49" ht="24.75" customHeight="1">
      <c r="A150" s="47"/>
      <c r="B150" s="35"/>
      <c r="C150" s="35"/>
      <c r="D150" s="32"/>
      <c r="E150" s="32"/>
      <c r="F150" s="32"/>
      <c r="G150" s="32"/>
      <c r="H150" s="35"/>
      <c r="I150" s="50"/>
      <c r="J150" s="35"/>
      <c r="K150" s="41"/>
      <c r="L150" s="44"/>
      <c r="M150" s="22">
        <v>46266</v>
      </c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3">
        <f>SUM(N150:AQ150)</f>
        <v>0</v>
      </c>
      <c r="AT150" s="14"/>
      <c r="AU150" s="9"/>
      <c r="AV150" s="12"/>
      <c r="AW150" s="12"/>
    </row>
    <row r="151" spans="1:49" ht="24.75" customHeight="1">
      <c r="A151" s="48"/>
      <c r="B151" s="35"/>
      <c r="C151" s="35"/>
      <c r="D151" s="32"/>
      <c r="E151" s="32"/>
      <c r="F151" s="33"/>
      <c r="G151" s="33"/>
      <c r="H151" s="36"/>
      <c r="I151" s="50"/>
      <c r="J151" s="35"/>
      <c r="K151" s="41"/>
      <c r="L151" s="44"/>
      <c r="M151" s="22">
        <v>46296</v>
      </c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29">
        <f>SUM(N151:AR151)</f>
        <v>0</v>
      </c>
      <c r="AT151" s="14"/>
      <c r="AU151" s="9"/>
      <c r="AV151" s="12"/>
      <c r="AW151" s="12"/>
    </row>
    <row r="152" spans="1:49" ht="24.75" customHeight="1">
      <c r="A152" s="46">
        <v>19</v>
      </c>
      <c r="B152" s="34" t="s">
        <v>44</v>
      </c>
      <c r="C152" s="34" t="s">
        <v>42</v>
      </c>
      <c r="D152" s="31">
        <v>0.24305555555555555</v>
      </c>
      <c r="E152" s="31">
        <v>0.28472222222222221</v>
      </c>
      <c r="F152" s="31"/>
      <c r="G152" s="31"/>
      <c r="H152" s="34" t="s">
        <v>76</v>
      </c>
      <c r="I152" s="37" t="s">
        <v>85</v>
      </c>
      <c r="J152" s="34" t="s">
        <v>21</v>
      </c>
      <c r="K152" s="40" t="s">
        <v>22</v>
      </c>
      <c r="L152" s="43" t="s">
        <v>23</v>
      </c>
      <c r="M152" s="27">
        <v>46082</v>
      </c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3">
        <f>SUM(N152:AR152)</f>
        <v>0</v>
      </c>
      <c r="AT152" s="14"/>
      <c r="AU152" s="9"/>
      <c r="AV152" s="12"/>
      <c r="AW152" s="12"/>
    </row>
    <row r="153" spans="1:49" ht="24.75" customHeight="1">
      <c r="A153" s="47"/>
      <c r="B153" s="35"/>
      <c r="C153" s="35"/>
      <c r="D153" s="32"/>
      <c r="E153" s="32"/>
      <c r="F153" s="32"/>
      <c r="G153" s="32"/>
      <c r="H153" s="35"/>
      <c r="I153" s="38"/>
      <c r="J153" s="35"/>
      <c r="K153" s="41"/>
      <c r="L153" s="44"/>
      <c r="M153" s="27">
        <v>46116</v>
      </c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3">
        <f t="shared" ref="AS153:AS155" si="18">SUM(N153:AR153)</f>
        <v>0</v>
      </c>
      <c r="AT153" s="14"/>
      <c r="AU153" s="9"/>
      <c r="AV153" s="12"/>
      <c r="AW153" s="12"/>
    </row>
    <row r="154" spans="1:49" ht="24.75" customHeight="1">
      <c r="A154" s="47"/>
      <c r="B154" s="35"/>
      <c r="C154" s="35"/>
      <c r="D154" s="32"/>
      <c r="E154" s="32"/>
      <c r="F154" s="32"/>
      <c r="G154" s="32"/>
      <c r="H154" s="35"/>
      <c r="I154" s="38"/>
      <c r="J154" s="35"/>
      <c r="K154" s="41"/>
      <c r="L154" s="44"/>
      <c r="M154" s="22" t="s">
        <v>78</v>
      </c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3">
        <f t="shared" si="18"/>
        <v>0</v>
      </c>
      <c r="AT154" s="14"/>
      <c r="AU154" s="9"/>
      <c r="AV154" s="12"/>
      <c r="AW154" s="12"/>
    </row>
    <row r="155" spans="1:49" ht="24.75" customHeight="1">
      <c r="A155" s="47"/>
      <c r="B155" s="35"/>
      <c r="C155" s="35"/>
      <c r="D155" s="32"/>
      <c r="E155" s="32"/>
      <c r="F155" s="32"/>
      <c r="G155" s="32"/>
      <c r="H155" s="35"/>
      <c r="I155" s="38"/>
      <c r="J155" s="35"/>
      <c r="K155" s="41"/>
      <c r="L155" s="44"/>
      <c r="M155" s="27">
        <v>46174</v>
      </c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30"/>
      <c r="AN155" s="28"/>
      <c r="AO155" s="28"/>
      <c r="AP155" s="28"/>
      <c r="AQ155" s="28"/>
      <c r="AR155" s="28"/>
      <c r="AS155" s="23">
        <f t="shared" si="18"/>
        <v>0</v>
      </c>
      <c r="AT155" s="14"/>
      <c r="AU155" s="9"/>
      <c r="AV155" s="12"/>
      <c r="AW155" s="12"/>
    </row>
    <row r="156" spans="1:49" ht="24.75" customHeight="1">
      <c r="A156" s="47"/>
      <c r="B156" s="35"/>
      <c r="C156" s="35"/>
      <c r="D156" s="32"/>
      <c r="E156" s="32"/>
      <c r="F156" s="32"/>
      <c r="G156" s="32"/>
      <c r="H156" s="35"/>
      <c r="I156" s="38"/>
      <c r="J156" s="35"/>
      <c r="K156" s="41"/>
      <c r="L156" s="44"/>
      <c r="M156" s="22">
        <v>46204</v>
      </c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30"/>
      <c r="AN156" s="21"/>
      <c r="AO156" s="21"/>
      <c r="AP156" s="21"/>
      <c r="AQ156" s="21"/>
      <c r="AR156" s="21"/>
      <c r="AS156" s="23">
        <f>SUM(N156:AR156)</f>
        <v>0</v>
      </c>
      <c r="AT156" s="14"/>
      <c r="AU156" s="9"/>
      <c r="AV156" s="12"/>
      <c r="AW156" s="12"/>
    </row>
    <row r="157" spans="1:49" ht="24.75" customHeight="1">
      <c r="A157" s="47"/>
      <c r="B157" s="35"/>
      <c r="C157" s="35"/>
      <c r="D157" s="32"/>
      <c r="E157" s="32"/>
      <c r="F157" s="32"/>
      <c r="G157" s="32"/>
      <c r="H157" s="35"/>
      <c r="I157" s="38"/>
      <c r="J157" s="35"/>
      <c r="K157" s="41"/>
      <c r="L157" s="44"/>
      <c r="M157" s="22">
        <v>46235</v>
      </c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30"/>
      <c r="AN157" s="21"/>
      <c r="AO157" s="21"/>
      <c r="AP157" s="21"/>
      <c r="AQ157" s="21"/>
      <c r="AR157" s="21"/>
      <c r="AS157" s="23">
        <f>SUM(N157:AR157)</f>
        <v>0</v>
      </c>
      <c r="AT157" s="14"/>
      <c r="AU157" s="9"/>
      <c r="AV157" s="12"/>
      <c r="AW157" s="12"/>
    </row>
    <row r="158" spans="1:49" ht="24.75" customHeight="1">
      <c r="A158" s="47"/>
      <c r="B158" s="35"/>
      <c r="C158" s="35"/>
      <c r="D158" s="32"/>
      <c r="E158" s="32"/>
      <c r="F158" s="32"/>
      <c r="G158" s="32"/>
      <c r="H158" s="35"/>
      <c r="I158" s="38"/>
      <c r="J158" s="35"/>
      <c r="K158" s="41"/>
      <c r="L158" s="44"/>
      <c r="M158" s="22">
        <v>46266</v>
      </c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3">
        <f>SUM(N158:AQ158)</f>
        <v>0</v>
      </c>
      <c r="AT158" s="14"/>
      <c r="AU158" s="9"/>
      <c r="AV158" s="12"/>
      <c r="AW158" s="12"/>
    </row>
    <row r="159" spans="1:49" ht="24.75" customHeight="1">
      <c r="A159" s="48"/>
      <c r="B159" s="36"/>
      <c r="C159" s="36"/>
      <c r="D159" s="33"/>
      <c r="E159" s="33"/>
      <c r="F159" s="33"/>
      <c r="G159" s="33"/>
      <c r="H159" s="36"/>
      <c r="I159" s="39"/>
      <c r="J159" s="36"/>
      <c r="K159" s="42"/>
      <c r="L159" s="45"/>
      <c r="M159" s="22">
        <v>46296</v>
      </c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29">
        <f>SUM(N159:AR159)</f>
        <v>0</v>
      </c>
      <c r="AT159" s="14"/>
      <c r="AU159" s="9"/>
      <c r="AV159" s="12"/>
      <c r="AW159" s="12"/>
    </row>
    <row r="160" spans="1:49" ht="24.75" customHeight="1">
      <c r="A160" s="46">
        <v>20</v>
      </c>
      <c r="B160" s="34" t="s">
        <v>86</v>
      </c>
      <c r="C160" s="34" t="s">
        <v>42</v>
      </c>
      <c r="D160" s="31">
        <v>0.95486111111111116</v>
      </c>
      <c r="E160" s="31">
        <v>3.472222222222222E-3</v>
      </c>
      <c r="F160" s="31"/>
      <c r="G160" s="31"/>
      <c r="H160" s="34" t="s">
        <v>76</v>
      </c>
      <c r="I160" s="37" t="s">
        <v>85</v>
      </c>
      <c r="J160" s="34" t="s">
        <v>21</v>
      </c>
      <c r="K160" s="40" t="s">
        <v>22</v>
      </c>
      <c r="L160" s="43" t="s">
        <v>23</v>
      </c>
      <c r="M160" s="27">
        <v>46082</v>
      </c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3">
        <f>SUM(N160:AR160)</f>
        <v>0</v>
      </c>
      <c r="AT160" s="14"/>
      <c r="AU160" s="9"/>
      <c r="AV160" s="12"/>
      <c r="AW160" s="12"/>
    </row>
    <row r="161" spans="1:49" ht="24.75" customHeight="1">
      <c r="A161" s="47"/>
      <c r="B161" s="35"/>
      <c r="C161" s="35"/>
      <c r="D161" s="32"/>
      <c r="E161" s="32"/>
      <c r="F161" s="32"/>
      <c r="G161" s="32"/>
      <c r="H161" s="35"/>
      <c r="I161" s="38"/>
      <c r="J161" s="35"/>
      <c r="K161" s="41"/>
      <c r="L161" s="44"/>
      <c r="M161" s="27">
        <v>46116</v>
      </c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3">
        <f t="shared" ref="AS161:AS163" si="19">SUM(N161:AR161)</f>
        <v>0</v>
      </c>
      <c r="AT161" s="14"/>
      <c r="AU161" s="9"/>
      <c r="AV161" s="12"/>
      <c r="AW161" s="12"/>
    </row>
    <row r="162" spans="1:49" ht="24.75" customHeight="1">
      <c r="A162" s="47"/>
      <c r="B162" s="35"/>
      <c r="C162" s="35"/>
      <c r="D162" s="32"/>
      <c r="E162" s="32"/>
      <c r="F162" s="32"/>
      <c r="G162" s="32"/>
      <c r="H162" s="35"/>
      <c r="I162" s="38"/>
      <c r="J162" s="35"/>
      <c r="K162" s="41"/>
      <c r="L162" s="44"/>
      <c r="M162" s="22" t="s">
        <v>78</v>
      </c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3">
        <f t="shared" si="19"/>
        <v>0</v>
      </c>
      <c r="AT162" s="14"/>
      <c r="AU162" s="9"/>
      <c r="AV162" s="12"/>
      <c r="AW162" s="12"/>
    </row>
    <row r="163" spans="1:49" ht="24.75" customHeight="1">
      <c r="A163" s="47"/>
      <c r="B163" s="35"/>
      <c r="C163" s="35"/>
      <c r="D163" s="32"/>
      <c r="E163" s="32"/>
      <c r="F163" s="32"/>
      <c r="G163" s="32"/>
      <c r="H163" s="35"/>
      <c r="I163" s="38"/>
      <c r="J163" s="35"/>
      <c r="K163" s="41"/>
      <c r="L163" s="44"/>
      <c r="M163" s="27">
        <v>46174</v>
      </c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30"/>
      <c r="AN163" s="28"/>
      <c r="AO163" s="28"/>
      <c r="AP163" s="28"/>
      <c r="AQ163" s="28"/>
      <c r="AR163" s="28"/>
      <c r="AS163" s="23">
        <f t="shared" si="19"/>
        <v>0</v>
      </c>
      <c r="AT163" s="14"/>
      <c r="AU163" s="9"/>
      <c r="AV163" s="12"/>
      <c r="AW163" s="12"/>
    </row>
    <row r="164" spans="1:49" ht="24.75" customHeight="1">
      <c r="A164" s="47"/>
      <c r="B164" s="35"/>
      <c r="C164" s="35"/>
      <c r="D164" s="32"/>
      <c r="E164" s="32"/>
      <c r="F164" s="32"/>
      <c r="G164" s="32"/>
      <c r="H164" s="35"/>
      <c r="I164" s="38"/>
      <c r="J164" s="35"/>
      <c r="K164" s="41"/>
      <c r="L164" s="44"/>
      <c r="M164" s="22">
        <v>46204</v>
      </c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30"/>
      <c r="AN164" s="21"/>
      <c r="AO164" s="21"/>
      <c r="AP164" s="21"/>
      <c r="AQ164" s="21"/>
      <c r="AR164" s="21"/>
      <c r="AS164" s="23">
        <f>SUM(N164:AR164)</f>
        <v>0</v>
      </c>
      <c r="AT164" s="14"/>
      <c r="AU164" s="9"/>
      <c r="AV164" s="12"/>
      <c r="AW164" s="12"/>
    </row>
    <row r="165" spans="1:49" ht="24.75" customHeight="1">
      <c r="A165" s="47"/>
      <c r="B165" s="35"/>
      <c r="C165" s="35"/>
      <c r="D165" s="32"/>
      <c r="E165" s="32"/>
      <c r="F165" s="32"/>
      <c r="G165" s="32"/>
      <c r="H165" s="35"/>
      <c r="I165" s="38"/>
      <c r="J165" s="35"/>
      <c r="K165" s="41"/>
      <c r="L165" s="44"/>
      <c r="M165" s="22">
        <v>46235</v>
      </c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30"/>
      <c r="AN165" s="21"/>
      <c r="AO165" s="21"/>
      <c r="AP165" s="21"/>
      <c r="AQ165" s="21"/>
      <c r="AR165" s="21"/>
      <c r="AS165" s="23">
        <f>SUM(N165:AR165)</f>
        <v>0</v>
      </c>
      <c r="AT165" s="14"/>
      <c r="AU165" s="9"/>
      <c r="AV165" s="12"/>
      <c r="AW165" s="12"/>
    </row>
    <row r="166" spans="1:49" ht="24.75" customHeight="1">
      <c r="A166" s="47"/>
      <c r="B166" s="35"/>
      <c r="C166" s="35"/>
      <c r="D166" s="32"/>
      <c r="E166" s="32"/>
      <c r="F166" s="32"/>
      <c r="G166" s="32"/>
      <c r="H166" s="35"/>
      <c r="I166" s="38"/>
      <c r="J166" s="35"/>
      <c r="K166" s="41"/>
      <c r="L166" s="44"/>
      <c r="M166" s="22">
        <v>46266</v>
      </c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3">
        <f>SUM(N166:AQ166)</f>
        <v>0</v>
      </c>
      <c r="AT166" s="14"/>
      <c r="AU166" s="9"/>
      <c r="AV166" s="12"/>
      <c r="AW166" s="12"/>
    </row>
    <row r="167" spans="1:49" ht="24.75" customHeight="1">
      <c r="A167" s="48"/>
      <c r="B167" s="36"/>
      <c r="C167" s="36"/>
      <c r="D167" s="33"/>
      <c r="E167" s="33"/>
      <c r="F167" s="33"/>
      <c r="G167" s="33"/>
      <c r="H167" s="36"/>
      <c r="I167" s="39"/>
      <c r="J167" s="36"/>
      <c r="K167" s="42"/>
      <c r="L167" s="45"/>
      <c r="M167" s="22">
        <v>46296</v>
      </c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29">
        <f>SUM(N167:AR167)</f>
        <v>0</v>
      </c>
      <c r="AT167" s="14"/>
      <c r="AU167" s="9"/>
      <c r="AV167" s="12"/>
      <c r="AW167" s="12"/>
    </row>
    <row r="168" spans="1:49" ht="24.75" customHeight="1">
      <c r="A168" s="46">
        <v>21</v>
      </c>
      <c r="B168" s="34" t="s">
        <v>87</v>
      </c>
      <c r="C168" s="34" t="s">
        <v>42</v>
      </c>
      <c r="D168" s="31">
        <v>0.4201388888888889</v>
      </c>
      <c r="E168" s="31">
        <v>0.46180555555555558</v>
      </c>
      <c r="F168" s="31"/>
      <c r="G168" s="31"/>
      <c r="H168" s="34" t="s">
        <v>76</v>
      </c>
      <c r="I168" s="37" t="s">
        <v>85</v>
      </c>
      <c r="J168" s="34" t="s">
        <v>21</v>
      </c>
      <c r="K168" s="40" t="s">
        <v>22</v>
      </c>
      <c r="L168" s="43" t="s">
        <v>23</v>
      </c>
      <c r="M168" s="27">
        <v>46082</v>
      </c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3">
        <f>SUM(N168:AR168)</f>
        <v>0</v>
      </c>
      <c r="AT168" s="14"/>
      <c r="AU168" s="9"/>
      <c r="AV168" s="12"/>
      <c r="AW168" s="12"/>
    </row>
    <row r="169" spans="1:49" ht="24.75" customHeight="1">
      <c r="A169" s="47"/>
      <c r="B169" s="35"/>
      <c r="C169" s="35"/>
      <c r="D169" s="32"/>
      <c r="E169" s="32"/>
      <c r="F169" s="32"/>
      <c r="G169" s="32"/>
      <c r="H169" s="35"/>
      <c r="I169" s="38"/>
      <c r="J169" s="35"/>
      <c r="K169" s="41"/>
      <c r="L169" s="44"/>
      <c r="M169" s="27">
        <v>46116</v>
      </c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3">
        <f t="shared" ref="AS169:AS171" si="20">SUM(N169:AR169)</f>
        <v>0</v>
      </c>
      <c r="AT169" s="14"/>
      <c r="AU169" s="9"/>
      <c r="AV169" s="12"/>
      <c r="AW169" s="12"/>
    </row>
    <row r="170" spans="1:49" ht="24.75" customHeight="1">
      <c r="A170" s="47"/>
      <c r="B170" s="35"/>
      <c r="C170" s="35"/>
      <c r="D170" s="32"/>
      <c r="E170" s="32"/>
      <c r="F170" s="32"/>
      <c r="G170" s="32"/>
      <c r="H170" s="35"/>
      <c r="I170" s="38"/>
      <c r="J170" s="35"/>
      <c r="K170" s="41"/>
      <c r="L170" s="44"/>
      <c r="M170" s="22" t="s">
        <v>78</v>
      </c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3">
        <f t="shared" si="20"/>
        <v>0</v>
      </c>
      <c r="AT170" s="14"/>
      <c r="AU170" s="9"/>
      <c r="AV170" s="12"/>
      <c r="AW170" s="12"/>
    </row>
    <row r="171" spans="1:49" ht="24.75" customHeight="1">
      <c r="A171" s="47"/>
      <c r="B171" s="35"/>
      <c r="C171" s="35"/>
      <c r="D171" s="32"/>
      <c r="E171" s="32"/>
      <c r="F171" s="32"/>
      <c r="G171" s="32"/>
      <c r="H171" s="35"/>
      <c r="I171" s="38"/>
      <c r="J171" s="35"/>
      <c r="K171" s="41"/>
      <c r="L171" s="44"/>
      <c r="M171" s="27">
        <v>46174</v>
      </c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30"/>
      <c r="AN171" s="28"/>
      <c r="AO171" s="28"/>
      <c r="AP171" s="28"/>
      <c r="AQ171" s="28"/>
      <c r="AR171" s="28"/>
      <c r="AS171" s="23">
        <f t="shared" si="20"/>
        <v>0</v>
      </c>
      <c r="AT171" s="14"/>
      <c r="AU171" s="9"/>
      <c r="AV171" s="12"/>
      <c r="AW171" s="12"/>
    </row>
    <row r="172" spans="1:49" ht="24.75" customHeight="1">
      <c r="A172" s="47"/>
      <c r="B172" s="35"/>
      <c r="C172" s="35"/>
      <c r="D172" s="32"/>
      <c r="E172" s="32"/>
      <c r="F172" s="32"/>
      <c r="G172" s="32"/>
      <c r="H172" s="35"/>
      <c r="I172" s="38"/>
      <c r="J172" s="35"/>
      <c r="K172" s="41"/>
      <c r="L172" s="44"/>
      <c r="M172" s="22">
        <v>46204</v>
      </c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30"/>
      <c r="AN172" s="21"/>
      <c r="AO172" s="21"/>
      <c r="AP172" s="21"/>
      <c r="AQ172" s="21"/>
      <c r="AR172" s="21"/>
      <c r="AS172" s="23">
        <f>SUM(N172:AR172)</f>
        <v>0</v>
      </c>
      <c r="AT172" s="14"/>
      <c r="AU172" s="9"/>
      <c r="AV172" s="12"/>
      <c r="AW172" s="12"/>
    </row>
    <row r="173" spans="1:49" ht="24.75" customHeight="1">
      <c r="A173" s="47"/>
      <c r="B173" s="35"/>
      <c r="C173" s="35"/>
      <c r="D173" s="32"/>
      <c r="E173" s="32"/>
      <c r="F173" s="32"/>
      <c r="G173" s="32"/>
      <c r="H173" s="35"/>
      <c r="I173" s="38"/>
      <c r="J173" s="35"/>
      <c r="K173" s="41"/>
      <c r="L173" s="44"/>
      <c r="M173" s="22">
        <v>46235</v>
      </c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30"/>
      <c r="AN173" s="21"/>
      <c r="AO173" s="21"/>
      <c r="AP173" s="21"/>
      <c r="AQ173" s="21"/>
      <c r="AR173" s="21"/>
      <c r="AS173" s="23">
        <f>SUM(N173:AR173)</f>
        <v>0</v>
      </c>
      <c r="AT173" s="14"/>
      <c r="AU173" s="9"/>
      <c r="AV173" s="12"/>
      <c r="AW173" s="12"/>
    </row>
    <row r="174" spans="1:49" ht="24.75" customHeight="1">
      <c r="A174" s="47"/>
      <c r="B174" s="35"/>
      <c r="C174" s="35"/>
      <c r="D174" s="32"/>
      <c r="E174" s="32"/>
      <c r="F174" s="32"/>
      <c r="G174" s="32"/>
      <c r="H174" s="35"/>
      <c r="I174" s="38"/>
      <c r="J174" s="35"/>
      <c r="K174" s="41"/>
      <c r="L174" s="44"/>
      <c r="M174" s="22">
        <v>46266</v>
      </c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3">
        <f>SUM(N174:AQ174)</f>
        <v>0</v>
      </c>
      <c r="AT174" s="14"/>
      <c r="AU174" s="9"/>
      <c r="AV174" s="12"/>
      <c r="AW174" s="12"/>
    </row>
    <row r="175" spans="1:49" ht="24.75" customHeight="1">
      <c r="A175" s="48"/>
      <c r="B175" s="36"/>
      <c r="C175" s="36"/>
      <c r="D175" s="33"/>
      <c r="E175" s="33"/>
      <c r="F175" s="33"/>
      <c r="G175" s="33"/>
      <c r="H175" s="36"/>
      <c r="I175" s="39"/>
      <c r="J175" s="36"/>
      <c r="K175" s="42"/>
      <c r="L175" s="45"/>
      <c r="M175" s="22">
        <v>46296</v>
      </c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29">
        <f>SUM(N175:AR175)</f>
        <v>0</v>
      </c>
      <c r="AT175" s="14"/>
      <c r="AU175" s="9"/>
      <c r="AV175" s="12"/>
      <c r="AW175" s="12"/>
    </row>
    <row r="176" spans="1:49" ht="24.75" customHeight="1">
      <c r="A176" s="46">
        <v>22</v>
      </c>
      <c r="B176" s="34" t="s">
        <v>45</v>
      </c>
      <c r="C176" s="34" t="s">
        <v>46</v>
      </c>
      <c r="D176" s="31">
        <v>0.46875</v>
      </c>
      <c r="E176" s="31">
        <v>0.53472222222222221</v>
      </c>
      <c r="F176" s="31"/>
      <c r="G176" s="31"/>
      <c r="H176" s="34" t="s">
        <v>76</v>
      </c>
      <c r="I176" s="37" t="s">
        <v>89</v>
      </c>
      <c r="J176" s="34" t="s">
        <v>21</v>
      </c>
      <c r="K176" s="40" t="s">
        <v>22</v>
      </c>
      <c r="L176" s="43" t="s">
        <v>23</v>
      </c>
      <c r="M176" s="27">
        <v>46082</v>
      </c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3">
        <f>SUM(N176:AR176)</f>
        <v>0</v>
      </c>
      <c r="AT176" s="14"/>
      <c r="AU176" s="9"/>
      <c r="AV176" s="12"/>
      <c r="AW176" s="12"/>
    </row>
    <row r="177" spans="1:49" ht="24.75" customHeight="1">
      <c r="A177" s="47"/>
      <c r="B177" s="35"/>
      <c r="C177" s="35"/>
      <c r="D177" s="32"/>
      <c r="E177" s="32"/>
      <c r="F177" s="32"/>
      <c r="G177" s="32"/>
      <c r="H177" s="35"/>
      <c r="I177" s="38"/>
      <c r="J177" s="35"/>
      <c r="K177" s="41"/>
      <c r="L177" s="44"/>
      <c r="M177" s="27">
        <v>46116</v>
      </c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3">
        <f t="shared" ref="AS177:AS179" si="21">SUM(N177:AR177)</f>
        <v>0</v>
      </c>
      <c r="AT177" s="14"/>
      <c r="AU177" s="9"/>
      <c r="AV177" s="12"/>
      <c r="AW177" s="12"/>
    </row>
    <row r="178" spans="1:49" ht="24.75" customHeight="1">
      <c r="A178" s="47"/>
      <c r="B178" s="35"/>
      <c r="C178" s="35"/>
      <c r="D178" s="32"/>
      <c r="E178" s="32"/>
      <c r="F178" s="32"/>
      <c r="G178" s="32"/>
      <c r="H178" s="35"/>
      <c r="I178" s="38"/>
      <c r="J178" s="35"/>
      <c r="K178" s="41"/>
      <c r="L178" s="44"/>
      <c r="M178" s="22" t="s">
        <v>78</v>
      </c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3">
        <f t="shared" si="21"/>
        <v>0</v>
      </c>
      <c r="AT178" s="14"/>
      <c r="AU178" s="9"/>
      <c r="AV178" s="12"/>
      <c r="AW178" s="12"/>
    </row>
    <row r="179" spans="1:49" ht="24.75" customHeight="1">
      <c r="A179" s="47"/>
      <c r="B179" s="35"/>
      <c r="C179" s="35"/>
      <c r="D179" s="32"/>
      <c r="E179" s="32"/>
      <c r="F179" s="32"/>
      <c r="G179" s="32"/>
      <c r="H179" s="35"/>
      <c r="I179" s="38"/>
      <c r="J179" s="35"/>
      <c r="K179" s="41"/>
      <c r="L179" s="44"/>
      <c r="M179" s="27">
        <v>46174</v>
      </c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30"/>
      <c r="AN179" s="28"/>
      <c r="AO179" s="28"/>
      <c r="AP179" s="28"/>
      <c r="AQ179" s="28"/>
      <c r="AR179" s="28"/>
      <c r="AS179" s="23">
        <f t="shared" si="21"/>
        <v>0</v>
      </c>
      <c r="AT179" s="14"/>
      <c r="AU179" s="9"/>
      <c r="AV179" s="12"/>
      <c r="AW179" s="12"/>
    </row>
    <row r="180" spans="1:49" ht="24.75" customHeight="1">
      <c r="A180" s="47"/>
      <c r="B180" s="35"/>
      <c r="C180" s="35"/>
      <c r="D180" s="32"/>
      <c r="E180" s="32"/>
      <c r="F180" s="32"/>
      <c r="G180" s="32"/>
      <c r="H180" s="35"/>
      <c r="I180" s="38"/>
      <c r="J180" s="35"/>
      <c r="K180" s="41"/>
      <c r="L180" s="44"/>
      <c r="M180" s="22">
        <v>46204</v>
      </c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30"/>
      <c r="AN180" s="21"/>
      <c r="AO180" s="21"/>
      <c r="AP180" s="21"/>
      <c r="AQ180" s="21"/>
      <c r="AR180" s="21"/>
      <c r="AS180" s="23">
        <f>SUM(N180:AR180)</f>
        <v>0</v>
      </c>
      <c r="AT180" s="14"/>
      <c r="AU180" s="9"/>
      <c r="AV180" s="12"/>
      <c r="AW180" s="12"/>
    </row>
    <row r="181" spans="1:49" ht="24.75" customHeight="1">
      <c r="A181" s="47"/>
      <c r="B181" s="35"/>
      <c r="C181" s="35"/>
      <c r="D181" s="32"/>
      <c r="E181" s="32"/>
      <c r="F181" s="32"/>
      <c r="G181" s="32"/>
      <c r="H181" s="35"/>
      <c r="I181" s="38"/>
      <c r="J181" s="35"/>
      <c r="K181" s="41"/>
      <c r="L181" s="44"/>
      <c r="M181" s="22">
        <v>46235</v>
      </c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30"/>
      <c r="AN181" s="21"/>
      <c r="AO181" s="21"/>
      <c r="AP181" s="21"/>
      <c r="AQ181" s="21"/>
      <c r="AR181" s="21"/>
      <c r="AS181" s="23">
        <f>SUM(N181:AR181)</f>
        <v>0</v>
      </c>
      <c r="AT181" s="14"/>
      <c r="AU181" s="9"/>
      <c r="AV181" s="12"/>
      <c r="AW181" s="12"/>
    </row>
    <row r="182" spans="1:49" ht="24.75" customHeight="1">
      <c r="A182" s="47"/>
      <c r="B182" s="35"/>
      <c r="C182" s="35"/>
      <c r="D182" s="32"/>
      <c r="E182" s="32"/>
      <c r="F182" s="32"/>
      <c r="G182" s="32"/>
      <c r="H182" s="35"/>
      <c r="I182" s="38"/>
      <c r="J182" s="35"/>
      <c r="K182" s="41"/>
      <c r="L182" s="44"/>
      <c r="M182" s="22">
        <v>46266</v>
      </c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3">
        <f>SUM(N182:AQ182)</f>
        <v>0</v>
      </c>
      <c r="AT182" s="14"/>
      <c r="AU182" s="9"/>
      <c r="AV182" s="12"/>
      <c r="AW182" s="12"/>
    </row>
    <row r="183" spans="1:49" ht="24.75" customHeight="1">
      <c r="A183" s="48"/>
      <c r="B183" s="36"/>
      <c r="C183" s="36"/>
      <c r="D183" s="33"/>
      <c r="E183" s="33"/>
      <c r="F183" s="33"/>
      <c r="G183" s="33"/>
      <c r="H183" s="36"/>
      <c r="I183" s="39"/>
      <c r="J183" s="36"/>
      <c r="K183" s="42"/>
      <c r="L183" s="45"/>
      <c r="M183" s="22">
        <v>46296</v>
      </c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29">
        <f>SUM(N183:AR183)</f>
        <v>0</v>
      </c>
      <c r="AT183" s="14"/>
      <c r="AU183" s="9"/>
      <c r="AV183" s="12"/>
      <c r="AW183" s="12"/>
    </row>
    <row r="184" spans="1:49" ht="24.75" customHeight="1">
      <c r="A184" s="46">
        <v>23</v>
      </c>
      <c r="B184" s="34" t="s">
        <v>88</v>
      </c>
      <c r="C184" s="34" t="s">
        <v>46</v>
      </c>
      <c r="D184" s="31">
        <v>0.34027777777777773</v>
      </c>
      <c r="E184" s="31">
        <v>0.40277777777777773</v>
      </c>
      <c r="F184" s="31"/>
      <c r="G184" s="31"/>
      <c r="H184" s="34" t="s">
        <v>76</v>
      </c>
      <c r="I184" s="37" t="s">
        <v>89</v>
      </c>
      <c r="J184" s="34" t="s">
        <v>28</v>
      </c>
      <c r="K184" s="40" t="s">
        <v>22</v>
      </c>
      <c r="L184" s="43" t="s">
        <v>23</v>
      </c>
      <c r="M184" s="27">
        <v>46082</v>
      </c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3">
        <f>SUM(N184:AR184)</f>
        <v>0</v>
      </c>
      <c r="AT184" s="14"/>
      <c r="AU184" s="9"/>
      <c r="AV184" s="12"/>
      <c r="AW184" s="12"/>
    </row>
    <row r="185" spans="1:49" ht="24.75" customHeight="1">
      <c r="A185" s="47"/>
      <c r="B185" s="35"/>
      <c r="C185" s="35"/>
      <c r="D185" s="32"/>
      <c r="E185" s="32"/>
      <c r="F185" s="32"/>
      <c r="G185" s="32"/>
      <c r="H185" s="35"/>
      <c r="I185" s="38"/>
      <c r="J185" s="35"/>
      <c r="K185" s="41"/>
      <c r="L185" s="44"/>
      <c r="M185" s="27">
        <v>46116</v>
      </c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3">
        <f t="shared" ref="AS185:AS187" si="22">SUM(N185:AR185)</f>
        <v>0</v>
      </c>
      <c r="AT185" s="14"/>
      <c r="AU185" s="9"/>
      <c r="AV185" s="12"/>
      <c r="AW185" s="12"/>
    </row>
    <row r="186" spans="1:49" ht="24.75" customHeight="1">
      <c r="A186" s="47"/>
      <c r="B186" s="35"/>
      <c r="C186" s="35"/>
      <c r="D186" s="32"/>
      <c r="E186" s="32"/>
      <c r="F186" s="32"/>
      <c r="G186" s="32"/>
      <c r="H186" s="35"/>
      <c r="I186" s="38"/>
      <c r="J186" s="35"/>
      <c r="K186" s="41"/>
      <c r="L186" s="44"/>
      <c r="M186" s="22" t="s">
        <v>78</v>
      </c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3">
        <f t="shared" si="22"/>
        <v>0</v>
      </c>
      <c r="AT186" s="14"/>
      <c r="AU186" s="9"/>
      <c r="AV186" s="12"/>
      <c r="AW186" s="12"/>
    </row>
    <row r="187" spans="1:49" ht="24.75" customHeight="1">
      <c r="A187" s="47"/>
      <c r="B187" s="35"/>
      <c r="C187" s="35"/>
      <c r="D187" s="32"/>
      <c r="E187" s="32"/>
      <c r="F187" s="32"/>
      <c r="G187" s="32"/>
      <c r="H187" s="35"/>
      <c r="I187" s="38"/>
      <c r="J187" s="35"/>
      <c r="K187" s="41"/>
      <c r="L187" s="44"/>
      <c r="M187" s="27">
        <v>46174</v>
      </c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30"/>
      <c r="AN187" s="28"/>
      <c r="AO187" s="28"/>
      <c r="AP187" s="28"/>
      <c r="AQ187" s="28"/>
      <c r="AR187" s="28"/>
      <c r="AS187" s="23">
        <f t="shared" si="22"/>
        <v>0</v>
      </c>
      <c r="AT187" s="14"/>
      <c r="AU187" s="9"/>
      <c r="AV187" s="12"/>
      <c r="AW187" s="12"/>
    </row>
    <row r="188" spans="1:49" ht="24.75" customHeight="1">
      <c r="A188" s="47"/>
      <c r="B188" s="35"/>
      <c r="C188" s="35"/>
      <c r="D188" s="32"/>
      <c r="E188" s="32"/>
      <c r="F188" s="32"/>
      <c r="G188" s="32"/>
      <c r="H188" s="35"/>
      <c r="I188" s="38"/>
      <c r="J188" s="35"/>
      <c r="K188" s="41"/>
      <c r="L188" s="44"/>
      <c r="M188" s="22">
        <v>46204</v>
      </c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30"/>
      <c r="AN188" s="21"/>
      <c r="AO188" s="21"/>
      <c r="AP188" s="21"/>
      <c r="AQ188" s="21"/>
      <c r="AR188" s="21"/>
      <c r="AS188" s="23">
        <f>SUM(N188:AR188)</f>
        <v>0</v>
      </c>
      <c r="AT188" s="14"/>
      <c r="AU188" s="9"/>
      <c r="AV188" s="12"/>
      <c r="AW188" s="12"/>
    </row>
    <row r="189" spans="1:49" ht="24.75" customHeight="1">
      <c r="A189" s="47"/>
      <c r="B189" s="35"/>
      <c r="C189" s="35"/>
      <c r="D189" s="32"/>
      <c r="E189" s="32"/>
      <c r="F189" s="32"/>
      <c r="G189" s="32"/>
      <c r="H189" s="35"/>
      <c r="I189" s="38"/>
      <c r="J189" s="35"/>
      <c r="K189" s="41"/>
      <c r="L189" s="44"/>
      <c r="M189" s="22">
        <v>46235</v>
      </c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30"/>
      <c r="AN189" s="21"/>
      <c r="AO189" s="21"/>
      <c r="AP189" s="21"/>
      <c r="AQ189" s="21"/>
      <c r="AR189" s="21"/>
      <c r="AS189" s="23">
        <f>SUM(N189:AR189)</f>
        <v>0</v>
      </c>
      <c r="AT189" s="14"/>
      <c r="AU189" s="9"/>
      <c r="AV189" s="12"/>
      <c r="AW189" s="12"/>
    </row>
    <row r="190" spans="1:49" ht="24.75" customHeight="1">
      <c r="A190" s="47"/>
      <c r="B190" s="35"/>
      <c r="C190" s="35"/>
      <c r="D190" s="32"/>
      <c r="E190" s="32"/>
      <c r="F190" s="32"/>
      <c r="G190" s="32"/>
      <c r="H190" s="35"/>
      <c r="I190" s="38"/>
      <c r="J190" s="35"/>
      <c r="K190" s="41"/>
      <c r="L190" s="44"/>
      <c r="M190" s="22">
        <v>46266</v>
      </c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3">
        <f>SUM(N190:AQ190)</f>
        <v>0</v>
      </c>
      <c r="AT190" s="14"/>
      <c r="AU190" s="9"/>
      <c r="AV190" s="12"/>
      <c r="AW190" s="12"/>
    </row>
    <row r="191" spans="1:49" ht="24.75" customHeight="1">
      <c r="A191" s="48"/>
      <c r="B191" s="36"/>
      <c r="C191" s="36"/>
      <c r="D191" s="33"/>
      <c r="E191" s="33"/>
      <c r="F191" s="33"/>
      <c r="G191" s="33"/>
      <c r="H191" s="36"/>
      <c r="I191" s="39"/>
      <c r="J191" s="36"/>
      <c r="K191" s="42"/>
      <c r="L191" s="45"/>
      <c r="M191" s="22">
        <v>46296</v>
      </c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29">
        <f>SUM(N191:AR191)</f>
        <v>0</v>
      </c>
      <c r="AT191" s="14"/>
      <c r="AU191" s="9"/>
      <c r="AV191" s="12"/>
      <c r="AW191" s="12"/>
    </row>
    <row r="192" spans="1:49" ht="24.75" customHeight="1">
      <c r="A192" s="46">
        <v>24</v>
      </c>
      <c r="B192" s="34" t="s">
        <v>95</v>
      </c>
      <c r="C192" s="34" t="s">
        <v>46</v>
      </c>
      <c r="D192" s="31">
        <v>8.6805555555555566E-2</v>
      </c>
      <c r="E192" s="31">
        <v>0.15277777777777776</v>
      </c>
      <c r="F192" s="31"/>
      <c r="G192" s="31"/>
      <c r="H192" s="34" t="s">
        <v>96</v>
      </c>
      <c r="I192" s="37" t="s">
        <v>97</v>
      </c>
      <c r="J192" s="34" t="s">
        <v>28</v>
      </c>
      <c r="K192" s="40">
        <v>204060</v>
      </c>
      <c r="L192" s="43" t="s">
        <v>23</v>
      </c>
      <c r="M192" s="27">
        <v>46116</v>
      </c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29"/>
      <c r="AT192" s="14"/>
      <c r="AU192" s="9"/>
      <c r="AV192" s="12"/>
      <c r="AW192" s="12"/>
    </row>
    <row r="193" spans="1:49" ht="24.75" customHeight="1">
      <c r="A193" s="47"/>
      <c r="B193" s="35"/>
      <c r="C193" s="35"/>
      <c r="D193" s="32"/>
      <c r="E193" s="32"/>
      <c r="F193" s="32"/>
      <c r="G193" s="32"/>
      <c r="H193" s="35"/>
      <c r="I193" s="38"/>
      <c r="J193" s="35"/>
      <c r="K193" s="41"/>
      <c r="L193" s="44"/>
      <c r="M193" s="22" t="s">
        <v>78</v>
      </c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29">
        <v>3</v>
      </c>
      <c r="AT193" s="14"/>
      <c r="AU193" s="9"/>
      <c r="AV193" s="12"/>
      <c r="AW193" s="12"/>
    </row>
    <row r="194" spans="1:49" ht="24.75" customHeight="1">
      <c r="A194" s="47"/>
      <c r="B194" s="35"/>
      <c r="C194" s="35"/>
      <c r="D194" s="32"/>
      <c r="E194" s="32"/>
      <c r="F194" s="32"/>
      <c r="G194" s="32"/>
      <c r="H194" s="35"/>
      <c r="I194" s="38"/>
      <c r="J194" s="35"/>
      <c r="K194" s="41"/>
      <c r="L194" s="44"/>
      <c r="M194" s="27">
        <v>46174</v>
      </c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29"/>
      <c r="AT194" s="14"/>
      <c r="AU194" s="9"/>
      <c r="AV194" s="12"/>
      <c r="AW194" s="12"/>
    </row>
    <row r="195" spans="1:49" ht="24.75" customHeight="1">
      <c r="A195" s="47"/>
      <c r="B195" s="35"/>
      <c r="C195" s="35"/>
      <c r="D195" s="32"/>
      <c r="E195" s="32"/>
      <c r="F195" s="32"/>
      <c r="G195" s="32"/>
      <c r="H195" s="35"/>
      <c r="I195" s="38"/>
      <c r="J195" s="35"/>
      <c r="K195" s="41"/>
      <c r="L195" s="44"/>
      <c r="M195" s="22">
        <v>46204</v>
      </c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29"/>
      <c r="AT195" s="14"/>
      <c r="AU195" s="9"/>
      <c r="AV195" s="12"/>
      <c r="AW195" s="12"/>
    </row>
    <row r="196" spans="1:49" ht="24.75" customHeight="1">
      <c r="A196" s="47"/>
      <c r="B196" s="35"/>
      <c r="C196" s="35"/>
      <c r="D196" s="32"/>
      <c r="E196" s="32"/>
      <c r="F196" s="32"/>
      <c r="G196" s="32"/>
      <c r="H196" s="35"/>
      <c r="I196" s="38"/>
      <c r="J196" s="35"/>
      <c r="K196" s="41"/>
      <c r="L196" s="44"/>
      <c r="M196" s="22">
        <v>46235</v>
      </c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29"/>
      <c r="AT196" s="14"/>
      <c r="AU196" s="9"/>
      <c r="AV196" s="12"/>
      <c r="AW196" s="12"/>
    </row>
    <row r="197" spans="1:49" ht="24.75" customHeight="1">
      <c r="A197" s="48"/>
      <c r="B197" s="36"/>
      <c r="C197" s="36"/>
      <c r="D197" s="33"/>
      <c r="E197" s="33"/>
      <c r="F197" s="33"/>
      <c r="G197" s="33"/>
      <c r="H197" s="36"/>
      <c r="I197" s="39"/>
      <c r="J197" s="36"/>
      <c r="K197" s="42"/>
      <c r="L197" s="45"/>
      <c r="M197" s="22">
        <v>46266</v>
      </c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29"/>
      <c r="AT197" s="14"/>
      <c r="AU197" s="9"/>
      <c r="AV197" s="12"/>
      <c r="AW197" s="12"/>
    </row>
    <row r="198" spans="1:49" ht="24.75" customHeight="1">
      <c r="A198" s="46">
        <v>25</v>
      </c>
      <c r="B198" s="34" t="s">
        <v>47</v>
      </c>
      <c r="C198" s="34" t="s">
        <v>48</v>
      </c>
      <c r="D198" s="31">
        <v>0.10416666666666667</v>
      </c>
      <c r="E198" s="31">
        <v>0.47222222222222227</v>
      </c>
      <c r="F198" s="31"/>
      <c r="G198" s="31"/>
      <c r="H198" s="34" t="s">
        <v>76</v>
      </c>
      <c r="I198" s="49" t="s">
        <v>90</v>
      </c>
      <c r="J198" s="34" t="s">
        <v>21</v>
      </c>
      <c r="K198" s="40" t="s">
        <v>22</v>
      </c>
      <c r="L198" s="43" t="s">
        <v>23</v>
      </c>
      <c r="M198" s="22">
        <v>46296</v>
      </c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3">
        <f>SUM(N198:AR198)</f>
        <v>0</v>
      </c>
      <c r="AT198" s="14"/>
      <c r="AU198" s="9"/>
      <c r="AV198" s="12"/>
      <c r="AW198" s="12"/>
    </row>
    <row r="199" spans="1:49" ht="24.75" customHeight="1">
      <c r="A199" s="47"/>
      <c r="B199" s="35"/>
      <c r="C199" s="35"/>
      <c r="D199" s="32"/>
      <c r="E199" s="32"/>
      <c r="F199" s="32"/>
      <c r="G199" s="32"/>
      <c r="H199" s="35"/>
      <c r="I199" s="50"/>
      <c r="J199" s="35"/>
      <c r="K199" s="41"/>
      <c r="L199" s="44"/>
      <c r="M199" s="27">
        <v>46116</v>
      </c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3">
        <f t="shared" ref="AS199:AS201" si="23">SUM(N199:AR199)</f>
        <v>0</v>
      </c>
      <c r="AT199" s="14"/>
      <c r="AU199" s="9"/>
      <c r="AV199" s="12"/>
      <c r="AW199" s="12"/>
    </row>
    <row r="200" spans="1:49" ht="24.75" customHeight="1">
      <c r="A200" s="47"/>
      <c r="B200" s="35"/>
      <c r="C200" s="35"/>
      <c r="D200" s="32"/>
      <c r="E200" s="32"/>
      <c r="F200" s="32"/>
      <c r="G200" s="32"/>
      <c r="H200" s="35"/>
      <c r="I200" s="50"/>
      <c r="J200" s="35"/>
      <c r="K200" s="41"/>
      <c r="L200" s="44"/>
      <c r="M200" s="22" t="s">
        <v>78</v>
      </c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3">
        <f t="shared" si="23"/>
        <v>0</v>
      </c>
      <c r="AT200" s="14"/>
      <c r="AU200" s="9"/>
      <c r="AV200" s="12"/>
      <c r="AW200" s="12"/>
    </row>
    <row r="201" spans="1:49" ht="24.75" customHeight="1">
      <c r="A201" s="47"/>
      <c r="B201" s="35"/>
      <c r="C201" s="35"/>
      <c r="D201" s="32"/>
      <c r="E201" s="32"/>
      <c r="F201" s="32"/>
      <c r="G201" s="32"/>
      <c r="H201" s="35"/>
      <c r="I201" s="50"/>
      <c r="J201" s="35"/>
      <c r="K201" s="41"/>
      <c r="L201" s="44"/>
      <c r="M201" s="27">
        <v>46174</v>
      </c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30"/>
      <c r="AN201" s="28"/>
      <c r="AO201" s="28"/>
      <c r="AP201" s="28"/>
      <c r="AQ201" s="28"/>
      <c r="AR201" s="28"/>
      <c r="AS201" s="23">
        <f t="shared" si="23"/>
        <v>0</v>
      </c>
      <c r="AT201" s="14"/>
      <c r="AU201" s="9"/>
      <c r="AV201" s="12"/>
      <c r="AW201" s="12"/>
    </row>
    <row r="202" spans="1:49" ht="24.75" customHeight="1">
      <c r="A202" s="47"/>
      <c r="B202" s="35"/>
      <c r="C202" s="35"/>
      <c r="D202" s="32"/>
      <c r="E202" s="32"/>
      <c r="F202" s="32"/>
      <c r="G202" s="32"/>
      <c r="H202" s="35"/>
      <c r="I202" s="50"/>
      <c r="J202" s="35"/>
      <c r="K202" s="41"/>
      <c r="L202" s="44"/>
      <c r="M202" s="22">
        <v>46204</v>
      </c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30"/>
      <c r="AN202" s="21"/>
      <c r="AO202" s="21"/>
      <c r="AP202" s="21"/>
      <c r="AQ202" s="21"/>
      <c r="AR202" s="21"/>
      <c r="AS202" s="23">
        <f>SUM(N202:AR202)</f>
        <v>0</v>
      </c>
      <c r="AT202" s="14"/>
      <c r="AU202" s="9"/>
      <c r="AV202" s="12"/>
      <c r="AW202" s="12"/>
    </row>
    <row r="203" spans="1:49" ht="24.75" customHeight="1">
      <c r="A203" s="47"/>
      <c r="B203" s="35"/>
      <c r="C203" s="35"/>
      <c r="D203" s="32"/>
      <c r="E203" s="32"/>
      <c r="F203" s="32"/>
      <c r="G203" s="32"/>
      <c r="H203" s="35"/>
      <c r="I203" s="50"/>
      <c r="J203" s="35"/>
      <c r="K203" s="41"/>
      <c r="L203" s="44"/>
      <c r="M203" s="22">
        <v>46235</v>
      </c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30"/>
      <c r="AN203" s="21"/>
      <c r="AO203" s="21"/>
      <c r="AP203" s="21"/>
      <c r="AQ203" s="21"/>
      <c r="AR203" s="21"/>
      <c r="AS203" s="23">
        <f>SUM(N203:AR203)</f>
        <v>0</v>
      </c>
      <c r="AT203" s="14"/>
      <c r="AU203" s="9"/>
      <c r="AV203" s="12"/>
      <c r="AW203" s="12"/>
    </row>
    <row r="204" spans="1:49" ht="24.75" customHeight="1">
      <c r="A204" s="47"/>
      <c r="B204" s="35"/>
      <c r="C204" s="35"/>
      <c r="D204" s="32"/>
      <c r="E204" s="32"/>
      <c r="F204" s="32"/>
      <c r="G204" s="32"/>
      <c r="H204" s="35"/>
      <c r="I204" s="50"/>
      <c r="J204" s="35"/>
      <c r="K204" s="41"/>
      <c r="L204" s="44"/>
      <c r="M204" s="22">
        <v>46266</v>
      </c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3">
        <f>SUM(N204:AQ204)</f>
        <v>0</v>
      </c>
      <c r="AT204" s="14"/>
      <c r="AU204" s="9"/>
      <c r="AV204" s="12"/>
      <c r="AW204" s="12"/>
    </row>
    <row r="205" spans="1:49" ht="24.75" customHeight="1">
      <c r="A205" s="48"/>
      <c r="B205" s="36"/>
      <c r="C205" s="36"/>
      <c r="D205" s="33"/>
      <c r="E205" s="33"/>
      <c r="F205" s="33"/>
      <c r="G205" s="33"/>
      <c r="H205" s="36"/>
      <c r="I205" s="51"/>
      <c r="J205" s="36"/>
      <c r="K205" s="42"/>
      <c r="L205" s="45"/>
      <c r="M205" s="22">
        <v>46296</v>
      </c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29">
        <f>SUM(N205:AR205)</f>
        <v>0</v>
      </c>
      <c r="AT205" s="14"/>
      <c r="AU205" s="9"/>
      <c r="AV205" s="12"/>
      <c r="AW205" s="12"/>
    </row>
    <row r="206" spans="1:49" ht="24.75" customHeight="1">
      <c r="A206" s="46">
        <v>26</v>
      </c>
      <c r="B206" s="34" t="s">
        <v>49</v>
      </c>
      <c r="C206" s="34" t="s">
        <v>48</v>
      </c>
      <c r="D206" s="31">
        <v>0.95486111111111105</v>
      </c>
      <c r="E206" s="31">
        <v>3.4722222222222199E-3</v>
      </c>
      <c r="F206" s="31"/>
      <c r="G206" s="31"/>
      <c r="H206" s="34" t="s">
        <v>76</v>
      </c>
      <c r="I206" s="49" t="s">
        <v>90</v>
      </c>
      <c r="J206" s="34" t="s">
        <v>21</v>
      </c>
      <c r="K206" s="40" t="s">
        <v>22</v>
      </c>
      <c r="L206" s="43" t="s">
        <v>23</v>
      </c>
      <c r="M206" s="27">
        <v>46082</v>
      </c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3">
        <f>SUM(N206:AR206)</f>
        <v>0</v>
      </c>
      <c r="AT206" s="14"/>
      <c r="AU206" s="9"/>
      <c r="AV206" s="12"/>
      <c r="AW206" s="12"/>
    </row>
    <row r="207" spans="1:49" ht="24.75" customHeight="1">
      <c r="A207" s="47"/>
      <c r="B207" s="35"/>
      <c r="C207" s="35"/>
      <c r="D207" s="32"/>
      <c r="E207" s="32"/>
      <c r="F207" s="32"/>
      <c r="G207" s="32"/>
      <c r="H207" s="35"/>
      <c r="I207" s="50"/>
      <c r="J207" s="35"/>
      <c r="K207" s="41"/>
      <c r="L207" s="44"/>
      <c r="M207" s="27">
        <v>46116</v>
      </c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3">
        <f t="shared" ref="AS207:AS209" si="24">SUM(N207:AR207)</f>
        <v>0</v>
      </c>
      <c r="AT207" s="14"/>
      <c r="AU207" s="9"/>
      <c r="AV207" s="12"/>
      <c r="AW207" s="12"/>
    </row>
    <row r="208" spans="1:49" ht="24.75" customHeight="1">
      <c r="A208" s="47"/>
      <c r="B208" s="35"/>
      <c r="C208" s="35"/>
      <c r="D208" s="32"/>
      <c r="E208" s="32"/>
      <c r="F208" s="32"/>
      <c r="G208" s="32"/>
      <c r="H208" s="35"/>
      <c r="I208" s="50"/>
      <c r="J208" s="35"/>
      <c r="K208" s="41"/>
      <c r="L208" s="44"/>
      <c r="M208" s="22" t="s">
        <v>78</v>
      </c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3">
        <f t="shared" si="24"/>
        <v>0</v>
      </c>
      <c r="AT208" s="14"/>
      <c r="AU208" s="9"/>
      <c r="AV208" s="12"/>
      <c r="AW208" s="12"/>
    </row>
    <row r="209" spans="1:49" ht="19.5" customHeight="1">
      <c r="A209" s="47"/>
      <c r="B209" s="35"/>
      <c r="C209" s="35"/>
      <c r="D209" s="32"/>
      <c r="E209" s="32"/>
      <c r="F209" s="32"/>
      <c r="G209" s="32"/>
      <c r="H209" s="35"/>
      <c r="I209" s="50"/>
      <c r="J209" s="35"/>
      <c r="K209" s="41"/>
      <c r="L209" s="44"/>
      <c r="M209" s="27">
        <v>46174</v>
      </c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30"/>
      <c r="AN209" s="28"/>
      <c r="AO209" s="28"/>
      <c r="AP209" s="28"/>
      <c r="AQ209" s="28"/>
      <c r="AR209" s="28"/>
      <c r="AS209" s="23">
        <f t="shared" si="24"/>
        <v>0</v>
      </c>
      <c r="AV209" s="5"/>
      <c r="AW209" s="5"/>
    </row>
    <row r="210" spans="1:49" ht="20.25" customHeight="1">
      <c r="A210" s="47"/>
      <c r="B210" s="35"/>
      <c r="C210" s="35"/>
      <c r="D210" s="32"/>
      <c r="E210" s="32"/>
      <c r="F210" s="32"/>
      <c r="G210" s="32"/>
      <c r="H210" s="35"/>
      <c r="I210" s="50"/>
      <c r="J210" s="35"/>
      <c r="K210" s="41"/>
      <c r="L210" s="44"/>
      <c r="M210" s="22">
        <v>46204</v>
      </c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30"/>
      <c r="AN210" s="21"/>
      <c r="AO210" s="21"/>
      <c r="AP210" s="21"/>
      <c r="AQ210" s="21"/>
      <c r="AR210" s="21"/>
      <c r="AS210" s="23">
        <f>SUM(N210:AR210)</f>
        <v>0</v>
      </c>
      <c r="AV210" s="5"/>
      <c r="AW210" s="5"/>
    </row>
    <row r="211" spans="1:49" ht="21" customHeight="1">
      <c r="A211" s="47"/>
      <c r="B211" s="35"/>
      <c r="C211" s="35"/>
      <c r="D211" s="32"/>
      <c r="E211" s="32"/>
      <c r="F211" s="32"/>
      <c r="G211" s="32"/>
      <c r="H211" s="35"/>
      <c r="I211" s="50"/>
      <c r="J211" s="35"/>
      <c r="K211" s="41"/>
      <c r="L211" s="44"/>
      <c r="M211" s="22">
        <v>46235</v>
      </c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30"/>
      <c r="AN211" s="21"/>
      <c r="AO211" s="21"/>
      <c r="AP211" s="21"/>
      <c r="AQ211" s="21"/>
      <c r="AR211" s="21"/>
      <c r="AS211" s="23">
        <f>SUM(N211:AR211)</f>
        <v>0</v>
      </c>
      <c r="AV211" s="5"/>
      <c r="AW211" s="5"/>
    </row>
    <row r="212" spans="1:49" ht="21" customHeight="1">
      <c r="A212" s="47"/>
      <c r="B212" s="35"/>
      <c r="C212" s="35"/>
      <c r="D212" s="32"/>
      <c r="E212" s="32"/>
      <c r="F212" s="32"/>
      <c r="G212" s="32"/>
      <c r="H212" s="35"/>
      <c r="I212" s="50"/>
      <c r="J212" s="35"/>
      <c r="K212" s="41"/>
      <c r="L212" s="44"/>
      <c r="M212" s="22">
        <v>46266</v>
      </c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3">
        <f>SUM(N212:AQ212)</f>
        <v>0</v>
      </c>
      <c r="AV212" s="5"/>
      <c r="AW212" s="5"/>
    </row>
    <row r="213" spans="1:49" ht="21" customHeight="1">
      <c r="A213" s="48"/>
      <c r="B213" s="36"/>
      <c r="C213" s="36"/>
      <c r="D213" s="33"/>
      <c r="E213" s="33"/>
      <c r="F213" s="33"/>
      <c r="G213" s="33"/>
      <c r="H213" s="36"/>
      <c r="I213" s="51"/>
      <c r="J213" s="36"/>
      <c r="K213" s="42"/>
      <c r="L213" s="45"/>
      <c r="M213" s="22">
        <v>46296</v>
      </c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29">
        <f>SUM(N213:AR213)</f>
        <v>0</v>
      </c>
      <c r="AV213" s="5"/>
      <c r="AW213" s="5"/>
    </row>
    <row r="214" spans="1:49" ht="21" customHeight="1">
      <c r="A214" s="46">
        <v>27</v>
      </c>
      <c r="B214" s="34" t="s">
        <v>50</v>
      </c>
      <c r="C214" s="34" t="s">
        <v>51</v>
      </c>
      <c r="D214" s="31">
        <v>0.24652777777777779</v>
      </c>
      <c r="E214" s="31">
        <v>0.3125</v>
      </c>
      <c r="F214" s="31"/>
      <c r="G214" s="31"/>
      <c r="H214" s="34" t="s">
        <v>76</v>
      </c>
      <c r="I214" s="49" t="s">
        <v>91</v>
      </c>
      <c r="J214" s="34" t="s">
        <v>21</v>
      </c>
      <c r="K214" s="40" t="s">
        <v>22</v>
      </c>
      <c r="L214" s="43" t="s">
        <v>23</v>
      </c>
      <c r="M214" s="27">
        <v>46082</v>
      </c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3">
        <f>SUM(N214:AR214)</f>
        <v>0</v>
      </c>
      <c r="AV214" s="5"/>
      <c r="AW214" s="5"/>
    </row>
    <row r="215" spans="1:49" ht="21" customHeight="1">
      <c r="A215" s="47"/>
      <c r="B215" s="35"/>
      <c r="C215" s="35"/>
      <c r="D215" s="32"/>
      <c r="E215" s="32"/>
      <c r="F215" s="32"/>
      <c r="G215" s="32"/>
      <c r="H215" s="35"/>
      <c r="I215" s="50"/>
      <c r="J215" s="35"/>
      <c r="K215" s="41"/>
      <c r="L215" s="44"/>
      <c r="M215" s="27">
        <v>46116</v>
      </c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3">
        <f t="shared" ref="AS215:AS217" si="25">SUM(N215:AR215)</f>
        <v>0</v>
      </c>
      <c r="AV215" s="5"/>
      <c r="AW215" s="5"/>
    </row>
    <row r="216" spans="1:49" ht="18.75" customHeight="1">
      <c r="A216" s="47"/>
      <c r="B216" s="35"/>
      <c r="C216" s="35"/>
      <c r="D216" s="32"/>
      <c r="E216" s="32"/>
      <c r="F216" s="32"/>
      <c r="G216" s="32"/>
      <c r="H216" s="35"/>
      <c r="I216" s="50"/>
      <c r="J216" s="35"/>
      <c r="K216" s="41"/>
      <c r="L216" s="44"/>
      <c r="M216" s="22" t="s">
        <v>78</v>
      </c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3">
        <f t="shared" si="25"/>
        <v>0</v>
      </c>
      <c r="AV216" s="5"/>
      <c r="AW216" s="5"/>
    </row>
    <row r="217" spans="1:49" ht="22.5" customHeight="1">
      <c r="A217" s="47"/>
      <c r="B217" s="35"/>
      <c r="C217" s="35"/>
      <c r="D217" s="32"/>
      <c r="E217" s="32"/>
      <c r="F217" s="32"/>
      <c r="G217" s="32"/>
      <c r="H217" s="35"/>
      <c r="I217" s="50"/>
      <c r="J217" s="35"/>
      <c r="K217" s="41"/>
      <c r="L217" s="44"/>
      <c r="M217" s="27">
        <v>46174</v>
      </c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30"/>
      <c r="AN217" s="28"/>
      <c r="AO217" s="28"/>
      <c r="AP217" s="28"/>
      <c r="AQ217" s="28"/>
      <c r="AR217" s="28"/>
      <c r="AS217" s="23">
        <f t="shared" si="25"/>
        <v>0</v>
      </c>
      <c r="AV217" s="5"/>
      <c r="AW217" s="5"/>
    </row>
    <row r="218" spans="1:49" ht="21" customHeight="1">
      <c r="A218" s="47"/>
      <c r="B218" s="35"/>
      <c r="C218" s="35"/>
      <c r="D218" s="32"/>
      <c r="E218" s="32"/>
      <c r="F218" s="32"/>
      <c r="G218" s="32"/>
      <c r="H218" s="35"/>
      <c r="I218" s="50"/>
      <c r="J218" s="35"/>
      <c r="K218" s="41"/>
      <c r="L218" s="44"/>
      <c r="M218" s="22">
        <v>46204</v>
      </c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30"/>
      <c r="AN218" s="21"/>
      <c r="AO218" s="21"/>
      <c r="AP218" s="21"/>
      <c r="AQ218" s="21"/>
      <c r="AR218" s="21"/>
      <c r="AS218" s="23">
        <f>SUM(N218:AR218)</f>
        <v>0</v>
      </c>
      <c r="AV218" s="5"/>
      <c r="AW218" s="5"/>
    </row>
    <row r="219" spans="1:49" ht="24" customHeight="1">
      <c r="A219" s="47"/>
      <c r="B219" s="35"/>
      <c r="C219" s="35"/>
      <c r="D219" s="32"/>
      <c r="E219" s="32"/>
      <c r="F219" s="32"/>
      <c r="G219" s="32"/>
      <c r="H219" s="35"/>
      <c r="I219" s="50"/>
      <c r="J219" s="35"/>
      <c r="K219" s="41"/>
      <c r="L219" s="44"/>
      <c r="M219" s="22">
        <v>46235</v>
      </c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30"/>
      <c r="AN219" s="21"/>
      <c r="AO219" s="21"/>
      <c r="AP219" s="21"/>
      <c r="AQ219" s="21"/>
      <c r="AR219" s="21"/>
      <c r="AS219" s="23">
        <f>SUM(N219:AR219)</f>
        <v>0</v>
      </c>
      <c r="AV219" s="5"/>
      <c r="AW219" s="5"/>
    </row>
    <row r="220" spans="1:49" ht="24.75" customHeight="1">
      <c r="A220" s="47"/>
      <c r="B220" s="35"/>
      <c r="C220" s="35"/>
      <c r="D220" s="32"/>
      <c r="E220" s="32"/>
      <c r="F220" s="32"/>
      <c r="G220" s="32"/>
      <c r="H220" s="35"/>
      <c r="I220" s="50"/>
      <c r="J220" s="35"/>
      <c r="K220" s="41"/>
      <c r="L220" s="44"/>
      <c r="M220" s="22">
        <v>46266</v>
      </c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3">
        <f>SUM(N220:AQ220)</f>
        <v>0</v>
      </c>
      <c r="AV220" s="5"/>
      <c r="AW220" s="5"/>
    </row>
    <row r="221" spans="1:49" ht="15.75" customHeight="1">
      <c r="A221" s="48"/>
      <c r="B221" s="36"/>
      <c r="C221" s="36"/>
      <c r="D221" s="33"/>
      <c r="E221" s="33"/>
      <c r="F221" s="33"/>
      <c r="G221" s="33"/>
      <c r="H221" s="36"/>
      <c r="I221" s="51"/>
      <c r="J221" s="36"/>
      <c r="K221" s="42"/>
      <c r="L221" s="45"/>
      <c r="M221" s="22">
        <v>46296</v>
      </c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29">
        <f>SUM(N221:AR221)</f>
        <v>0</v>
      </c>
      <c r="AV221" s="5"/>
      <c r="AW221" s="5"/>
    </row>
    <row r="222" spans="1:49" ht="15.75" customHeight="1">
      <c r="A222" s="46">
        <v>28</v>
      </c>
      <c r="B222" s="34" t="s">
        <v>52</v>
      </c>
      <c r="C222" s="34" t="s">
        <v>53</v>
      </c>
      <c r="D222" s="31">
        <v>0.21875</v>
      </c>
      <c r="E222" s="31">
        <v>0.2951388888888889</v>
      </c>
      <c r="F222" s="31"/>
      <c r="G222" s="31"/>
      <c r="H222" s="34" t="s">
        <v>76</v>
      </c>
      <c r="I222" s="49" t="s">
        <v>92</v>
      </c>
      <c r="J222" s="34" t="s">
        <v>21</v>
      </c>
      <c r="K222" s="40" t="s">
        <v>22</v>
      </c>
      <c r="L222" s="43" t="s">
        <v>23</v>
      </c>
      <c r="M222" s="27">
        <v>46082</v>
      </c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3">
        <f>SUM(N222:AR222)</f>
        <v>0</v>
      </c>
      <c r="AV222" s="5"/>
      <c r="AW222" s="5"/>
    </row>
    <row r="223" spans="1:49" ht="15.75" customHeight="1">
      <c r="A223" s="47"/>
      <c r="B223" s="35"/>
      <c r="C223" s="35"/>
      <c r="D223" s="32"/>
      <c r="E223" s="32"/>
      <c r="F223" s="32"/>
      <c r="G223" s="32"/>
      <c r="H223" s="35"/>
      <c r="I223" s="70"/>
      <c r="J223" s="35"/>
      <c r="K223" s="41"/>
      <c r="L223" s="44"/>
      <c r="M223" s="27">
        <v>46116</v>
      </c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3">
        <f t="shared" ref="AS223:AS225" si="26">SUM(N223:AR223)</f>
        <v>0</v>
      </c>
      <c r="AV223" s="5"/>
      <c r="AW223" s="5"/>
    </row>
    <row r="224" spans="1:49" ht="15.75" customHeight="1">
      <c r="A224" s="47"/>
      <c r="B224" s="35"/>
      <c r="C224" s="35"/>
      <c r="D224" s="32"/>
      <c r="E224" s="32"/>
      <c r="F224" s="32"/>
      <c r="G224" s="32"/>
      <c r="H224" s="35"/>
      <c r="I224" s="70"/>
      <c r="J224" s="35"/>
      <c r="K224" s="41"/>
      <c r="L224" s="44"/>
      <c r="M224" s="22" t="s">
        <v>78</v>
      </c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3">
        <f t="shared" si="26"/>
        <v>0</v>
      </c>
      <c r="AV224" s="5"/>
      <c r="AW224" s="5"/>
    </row>
    <row r="225" spans="1:49" ht="15.75" customHeight="1">
      <c r="A225" s="47"/>
      <c r="B225" s="35"/>
      <c r="C225" s="35"/>
      <c r="D225" s="32"/>
      <c r="E225" s="32"/>
      <c r="F225" s="32"/>
      <c r="G225" s="32"/>
      <c r="H225" s="35"/>
      <c r="I225" s="70"/>
      <c r="J225" s="35"/>
      <c r="K225" s="41"/>
      <c r="L225" s="44"/>
      <c r="M225" s="27">
        <v>46174</v>
      </c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30"/>
      <c r="AN225" s="28"/>
      <c r="AO225" s="28"/>
      <c r="AP225" s="28"/>
      <c r="AQ225" s="28"/>
      <c r="AR225" s="28"/>
      <c r="AS225" s="23">
        <f t="shared" si="26"/>
        <v>0</v>
      </c>
      <c r="AV225" s="5"/>
      <c r="AW225" s="5"/>
    </row>
    <row r="226" spans="1:49" ht="15.75" customHeight="1">
      <c r="A226" s="47"/>
      <c r="B226" s="35"/>
      <c r="C226" s="35"/>
      <c r="D226" s="32"/>
      <c r="E226" s="32"/>
      <c r="F226" s="32"/>
      <c r="G226" s="32"/>
      <c r="H226" s="35"/>
      <c r="I226" s="70"/>
      <c r="J226" s="35"/>
      <c r="K226" s="41"/>
      <c r="L226" s="44"/>
      <c r="M226" s="22">
        <v>46204</v>
      </c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30"/>
      <c r="AN226" s="21"/>
      <c r="AO226" s="21"/>
      <c r="AP226" s="21"/>
      <c r="AQ226" s="21"/>
      <c r="AR226" s="21"/>
      <c r="AS226" s="23">
        <f>SUM(N226:AR226)</f>
        <v>0</v>
      </c>
      <c r="AV226" s="5"/>
      <c r="AW226" s="5"/>
    </row>
    <row r="227" spans="1:49" ht="15.75" customHeight="1">
      <c r="A227" s="47"/>
      <c r="B227" s="35"/>
      <c r="C227" s="35"/>
      <c r="D227" s="32"/>
      <c r="E227" s="32"/>
      <c r="F227" s="32"/>
      <c r="G227" s="32"/>
      <c r="H227" s="35"/>
      <c r="I227" s="70"/>
      <c r="J227" s="35"/>
      <c r="K227" s="41"/>
      <c r="L227" s="44"/>
      <c r="M227" s="22">
        <v>46235</v>
      </c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30"/>
      <c r="AN227" s="21"/>
      <c r="AO227" s="21"/>
      <c r="AP227" s="21"/>
      <c r="AQ227" s="21"/>
      <c r="AR227" s="21"/>
      <c r="AS227" s="23">
        <f>SUM(N227:AR227)</f>
        <v>0</v>
      </c>
      <c r="AV227" s="5"/>
      <c r="AW227" s="5"/>
    </row>
    <row r="228" spans="1:49" ht="15.75" customHeight="1">
      <c r="A228" s="47"/>
      <c r="B228" s="35"/>
      <c r="C228" s="35"/>
      <c r="D228" s="32"/>
      <c r="E228" s="32"/>
      <c r="F228" s="32"/>
      <c r="G228" s="32"/>
      <c r="H228" s="35"/>
      <c r="I228" s="70"/>
      <c r="J228" s="35"/>
      <c r="K228" s="41"/>
      <c r="L228" s="44"/>
      <c r="M228" s="22">
        <v>46266</v>
      </c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3">
        <f>SUM(N228:AQ228)</f>
        <v>0</v>
      </c>
      <c r="AV228" s="5"/>
      <c r="AW228" s="5"/>
    </row>
    <row r="229" spans="1:49" ht="15.75" customHeight="1">
      <c r="A229" s="48"/>
      <c r="B229" s="36"/>
      <c r="C229" s="36"/>
      <c r="D229" s="33"/>
      <c r="E229" s="33"/>
      <c r="F229" s="33"/>
      <c r="G229" s="33"/>
      <c r="H229" s="36"/>
      <c r="I229" s="71"/>
      <c r="J229" s="36"/>
      <c r="K229" s="42"/>
      <c r="L229" s="45"/>
      <c r="M229" s="22">
        <v>46296</v>
      </c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29">
        <f>SUM(N229:AR229)</f>
        <v>0</v>
      </c>
      <c r="AV229" s="5"/>
      <c r="AW229" s="5"/>
    </row>
    <row r="230" spans="1:49" ht="15.75" customHeight="1">
      <c r="A230" s="46">
        <v>29</v>
      </c>
      <c r="B230" s="34" t="s">
        <v>55</v>
      </c>
      <c r="C230" s="34" t="s">
        <v>54</v>
      </c>
      <c r="D230" s="31">
        <v>0.11458333333333333</v>
      </c>
      <c r="E230" s="31">
        <v>0.18402777777777779</v>
      </c>
      <c r="F230" s="31"/>
      <c r="G230" s="31"/>
      <c r="H230" s="34" t="s">
        <v>76</v>
      </c>
      <c r="I230" s="49" t="s">
        <v>94</v>
      </c>
      <c r="J230" s="34" t="s">
        <v>21</v>
      </c>
      <c r="K230" s="40" t="s">
        <v>22</v>
      </c>
      <c r="L230" s="43" t="s">
        <v>23</v>
      </c>
      <c r="M230" s="27">
        <v>46082</v>
      </c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3">
        <f>SUM(N230:AR230)</f>
        <v>0</v>
      </c>
      <c r="AV230" s="5"/>
      <c r="AW230" s="5"/>
    </row>
    <row r="231" spans="1:49" ht="15.75" customHeight="1">
      <c r="A231" s="47"/>
      <c r="B231" s="35"/>
      <c r="C231" s="35"/>
      <c r="D231" s="32"/>
      <c r="E231" s="32"/>
      <c r="F231" s="32"/>
      <c r="G231" s="32"/>
      <c r="H231" s="35"/>
      <c r="I231" s="50"/>
      <c r="J231" s="35"/>
      <c r="K231" s="41"/>
      <c r="L231" s="44"/>
      <c r="M231" s="27">
        <v>46116</v>
      </c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3">
        <f t="shared" ref="AS231:AS233" si="27">SUM(N231:AR231)</f>
        <v>0</v>
      </c>
      <c r="AV231" s="5"/>
      <c r="AW231" s="5"/>
    </row>
    <row r="232" spans="1:49" ht="15.75" customHeight="1">
      <c r="A232" s="47"/>
      <c r="B232" s="35"/>
      <c r="C232" s="35"/>
      <c r="D232" s="32"/>
      <c r="E232" s="32"/>
      <c r="F232" s="32"/>
      <c r="G232" s="32"/>
      <c r="H232" s="35"/>
      <c r="I232" s="50"/>
      <c r="J232" s="35"/>
      <c r="K232" s="41"/>
      <c r="L232" s="44"/>
      <c r="M232" s="22" t="s">
        <v>78</v>
      </c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3">
        <f t="shared" si="27"/>
        <v>0</v>
      </c>
      <c r="AV232" s="5"/>
      <c r="AW232" s="5"/>
    </row>
    <row r="233" spans="1:49" ht="15.75" customHeight="1">
      <c r="A233" s="47"/>
      <c r="B233" s="35"/>
      <c r="C233" s="35"/>
      <c r="D233" s="32"/>
      <c r="E233" s="32"/>
      <c r="F233" s="32"/>
      <c r="G233" s="32"/>
      <c r="H233" s="35"/>
      <c r="I233" s="50"/>
      <c r="J233" s="35"/>
      <c r="K233" s="41"/>
      <c r="L233" s="44"/>
      <c r="M233" s="27">
        <v>46174</v>
      </c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30"/>
      <c r="AN233" s="28"/>
      <c r="AO233" s="28"/>
      <c r="AP233" s="28"/>
      <c r="AQ233" s="28"/>
      <c r="AR233" s="28"/>
      <c r="AS233" s="23">
        <f t="shared" si="27"/>
        <v>0</v>
      </c>
      <c r="AV233" s="5"/>
      <c r="AW233" s="5"/>
    </row>
    <row r="234" spans="1:49" ht="15.75" customHeight="1">
      <c r="A234" s="47"/>
      <c r="B234" s="35"/>
      <c r="C234" s="35"/>
      <c r="D234" s="32"/>
      <c r="E234" s="32"/>
      <c r="F234" s="32"/>
      <c r="G234" s="32"/>
      <c r="H234" s="35"/>
      <c r="I234" s="50"/>
      <c r="J234" s="35"/>
      <c r="K234" s="41"/>
      <c r="L234" s="44"/>
      <c r="M234" s="22">
        <v>46204</v>
      </c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30"/>
      <c r="AN234" s="21"/>
      <c r="AO234" s="21"/>
      <c r="AP234" s="21"/>
      <c r="AQ234" s="21"/>
      <c r="AR234" s="21"/>
      <c r="AS234" s="23">
        <f>SUM(N234:AR234)</f>
        <v>0</v>
      </c>
      <c r="AV234" s="5"/>
      <c r="AW234" s="5"/>
    </row>
    <row r="235" spans="1:49" ht="15.75" customHeight="1">
      <c r="A235" s="47"/>
      <c r="B235" s="35"/>
      <c r="C235" s="35"/>
      <c r="D235" s="32"/>
      <c r="E235" s="32"/>
      <c r="F235" s="32"/>
      <c r="G235" s="32"/>
      <c r="H235" s="35"/>
      <c r="I235" s="50"/>
      <c r="J235" s="35"/>
      <c r="K235" s="41"/>
      <c r="L235" s="44"/>
      <c r="M235" s="22">
        <v>46235</v>
      </c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30"/>
      <c r="AN235" s="21"/>
      <c r="AO235" s="21"/>
      <c r="AP235" s="21"/>
      <c r="AQ235" s="21"/>
      <c r="AR235" s="21"/>
      <c r="AS235" s="23">
        <f>SUM(N235:AR235)</f>
        <v>0</v>
      </c>
      <c r="AV235" s="5"/>
      <c r="AW235" s="5"/>
    </row>
    <row r="236" spans="1:49" ht="15.75" customHeight="1">
      <c r="A236" s="47"/>
      <c r="B236" s="35"/>
      <c r="C236" s="35"/>
      <c r="D236" s="32"/>
      <c r="E236" s="32"/>
      <c r="F236" s="32"/>
      <c r="G236" s="32"/>
      <c r="H236" s="35"/>
      <c r="I236" s="50"/>
      <c r="J236" s="35"/>
      <c r="K236" s="41"/>
      <c r="L236" s="44"/>
      <c r="M236" s="22">
        <v>46266</v>
      </c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3">
        <f>SUM(N236:AQ236)</f>
        <v>0</v>
      </c>
      <c r="AV236" s="5"/>
      <c r="AW236" s="5"/>
    </row>
    <row r="237" spans="1:49" ht="15.75" customHeight="1">
      <c r="A237" s="48"/>
      <c r="B237" s="36"/>
      <c r="C237" s="36"/>
      <c r="D237" s="33"/>
      <c r="E237" s="33"/>
      <c r="F237" s="33"/>
      <c r="G237" s="33"/>
      <c r="H237" s="36"/>
      <c r="I237" s="51"/>
      <c r="J237" s="36"/>
      <c r="K237" s="42"/>
      <c r="L237" s="45"/>
      <c r="M237" s="22">
        <v>46296</v>
      </c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29">
        <f>SUM(N237:AR237)</f>
        <v>0</v>
      </c>
      <c r="AV237" s="5"/>
      <c r="AW237" s="5"/>
    </row>
    <row r="238" spans="1:49" ht="15.75" customHeight="1">
      <c r="A238" s="46">
        <v>30</v>
      </c>
      <c r="B238" s="34" t="s">
        <v>56</v>
      </c>
      <c r="C238" s="34" t="s">
        <v>54</v>
      </c>
      <c r="D238" s="31">
        <v>0.33333333333333331</v>
      </c>
      <c r="E238" s="31">
        <v>0.39583333333333331</v>
      </c>
      <c r="F238" s="31"/>
      <c r="G238" s="31"/>
      <c r="H238" s="34" t="s">
        <v>76</v>
      </c>
      <c r="I238" s="49" t="s">
        <v>94</v>
      </c>
      <c r="J238" s="34" t="s">
        <v>21</v>
      </c>
      <c r="K238" s="40" t="s">
        <v>22</v>
      </c>
      <c r="L238" s="43" t="s">
        <v>23</v>
      </c>
      <c r="M238" s="27">
        <v>46082</v>
      </c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3">
        <f>SUM(N238:AR238)</f>
        <v>0</v>
      </c>
      <c r="AV238" s="5"/>
      <c r="AW238" s="5"/>
    </row>
    <row r="239" spans="1:49" ht="15.75" customHeight="1">
      <c r="A239" s="47"/>
      <c r="B239" s="35"/>
      <c r="C239" s="35"/>
      <c r="D239" s="32"/>
      <c r="E239" s="32"/>
      <c r="F239" s="32"/>
      <c r="G239" s="32"/>
      <c r="H239" s="35"/>
      <c r="I239" s="50"/>
      <c r="J239" s="35"/>
      <c r="K239" s="41"/>
      <c r="L239" s="44"/>
      <c r="M239" s="27">
        <v>46116</v>
      </c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3">
        <f t="shared" ref="AS239:AS241" si="28">SUM(N239:AR239)</f>
        <v>0</v>
      </c>
      <c r="AV239" s="5"/>
      <c r="AW239" s="5"/>
    </row>
    <row r="240" spans="1:49" ht="15.75" customHeight="1">
      <c r="A240" s="47"/>
      <c r="B240" s="35"/>
      <c r="C240" s="35"/>
      <c r="D240" s="32"/>
      <c r="E240" s="32"/>
      <c r="F240" s="32"/>
      <c r="G240" s="32"/>
      <c r="H240" s="35"/>
      <c r="I240" s="50"/>
      <c r="J240" s="35"/>
      <c r="K240" s="41"/>
      <c r="L240" s="44"/>
      <c r="M240" s="22" t="s">
        <v>78</v>
      </c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3">
        <f t="shared" si="28"/>
        <v>0</v>
      </c>
      <c r="AV240" s="5"/>
      <c r="AW240" s="5"/>
    </row>
    <row r="241" spans="1:49" ht="15.75" customHeight="1">
      <c r="A241" s="47"/>
      <c r="B241" s="35"/>
      <c r="C241" s="35"/>
      <c r="D241" s="32"/>
      <c r="E241" s="32"/>
      <c r="F241" s="32"/>
      <c r="G241" s="32"/>
      <c r="H241" s="35"/>
      <c r="I241" s="50"/>
      <c r="J241" s="35"/>
      <c r="K241" s="41"/>
      <c r="L241" s="44"/>
      <c r="M241" s="27">
        <v>46174</v>
      </c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30"/>
      <c r="AN241" s="28"/>
      <c r="AO241" s="28"/>
      <c r="AP241" s="28"/>
      <c r="AQ241" s="28"/>
      <c r="AR241" s="28"/>
      <c r="AS241" s="23">
        <f t="shared" si="28"/>
        <v>0</v>
      </c>
      <c r="AV241" s="5"/>
      <c r="AW241" s="5"/>
    </row>
    <row r="242" spans="1:49" ht="15.75" customHeight="1">
      <c r="A242" s="47"/>
      <c r="B242" s="35"/>
      <c r="C242" s="35"/>
      <c r="D242" s="32"/>
      <c r="E242" s="32"/>
      <c r="F242" s="32"/>
      <c r="G242" s="32"/>
      <c r="H242" s="35"/>
      <c r="I242" s="50"/>
      <c r="J242" s="35"/>
      <c r="K242" s="41"/>
      <c r="L242" s="44"/>
      <c r="M242" s="22">
        <v>46204</v>
      </c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30"/>
      <c r="AN242" s="21"/>
      <c r="AO242" s="21"/>
      <c r="AP242" s="21"/>
      <c r="AQ242" s="21"/>
      <c r="AR242" s="21"/>
      <c r="AS242" s="23">
        <f>SUM(N242:AR242)</f>
        <v>0</v>
      </c>
      <c r="AV242" s="5"/>
      <c r="AW242" s="5"/>
    </row>
    <row r="243" spans="1:49" ht="15.75" customHeight="1">
      <c r="A243" s="47"/>
      <c r="B243" s="35"/>
      <c r="C243" s="35"/>
      <c r="D243" s="32"/>
      <c r="E243" s="32"/>
      <c r="F243" s="32"/>
      <c r="G243" s="32"/>
      <c r="H243" s="35"/>
      <c r="I243" s="50"/>
      <c r="J243" s="35"/>
      <c r="K243" s="41"/>
      <c r="L243" s="44"/>
      <c r="M243" s="22">
        <v>46235</v>
      </c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30"/>
      <c r="AN243" s="21"/>
      <c r="AO243" s="21"/>
      <c r="AP243" s="21"/>
      <c r="AQ243" s="21"/>
      <c r="AR243" s="21"/>
      <c r="AS243" s="23">
        <f>SUM(N243:AR243)</f>
        <v>0</v>
      </c>
      <c r="AV243" s="5"/>
      <c r="AW243" s="5"/>
    </row>
    <row r="244" spans="1:49" ht="15.75" customHeight="1">
      <c r="A244" s="47"/>
      <c r="B244" s="35"/>
      <c r="C244" s="35"/>
      <c r="D244" s="32"/>
      <c r="E244" s="32"/>
      <c r="F244" s="32"/>
      <c r="G244" s="32"/>
      <c r="H244" s="35"/>
      <c r="I244" s="50"/>
      <c r="J244" s="35"/>
      <c r="K244" s="41"/>
      <c r="L244" s="44"/>
      <c r="M244" s="22">
        <v>46266</v>
      </c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3">
        <f>SUM(N244:AQ244)</f>
        <v>0</v>
      </c>
      <c r="AV244" s="5"/>
      <c r="AW244" s="5"/>
    </row>
    <row r="245" spans="1:49" ht="15.75" customHeight="1">
      <c r="A245" s="48"/>
      <c r="B245" s="36"/>
      <c r="C245" s="36"/>
      <c r="D245" s="33"/>
      <c r="E245" s="33"/>
      <c r="F245" s="33"/>
      <c r="G245" s="33"/>
      <c r="H245" s="36"/>
      <c r="I245" s="51"/>
      <c r="J245" s="36"/>
      <c r="K245" s="42"/>
      <c r="L245" s="45"/>
      <c r="M245" s="22">
        <v>46296</v>
      </c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29">
        <f>SUM(N245:AR245)</f>
        <v>0</v>
      </c>
      <c r="AV245" s="5"/>
      <c r="AW245" s="5"/>
    </row>
    <row r="246" spans="1:49" ht="15.75" customHeight="1">
      <c r="A246" s="46">
        <v>31</v>
      </c>
      <c r="B246" s="34" t="s">
        <v>57</v>
      </c>
      <c r="C246" s="34" t="s">
        <v>54</v>
      </c>
      <c r="D246" s="31">
        <v>0.17708333333333334</v>
      </c>
      <c r="E246" s="31">
        <v>0.24305555555555555</v>
      </c>
      <c r="F246" s="31"/>
      <c r="G246" s="31"/>
      <c r="H246" s="34" t="s">
        <v>76</v>
      </c>
      <c r="I246" s="49" t="s">
        <v>94</v>
      </c>
      <c r="J246" s="34" t="s">
        <v>21</v>
      </c>
      <c r="K246" s="40" t="s">
        <v>22</v>
      </c>
      <c r="L246" s="43" t="s">
        <v>23</v>
      </c>
      <c r="M246" s="27">
        <v>46082</v>
      </c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3">
        <f>SUM(N246:AR246)</f>
        <v>0</v>
      </c>
      <c r="AV246" s="5"/>
      <c r="AW246" s="5"/>
    </row>
    <row r="247" spans="1:49" ht="15.75" customHeight="1">
      <c r="A247" s="47"/>
      <c r="B247" s="35"/>
      <c r="C247" s="35"/>
      <c r="D247" s="32"/>
      <c r="E247" s="32"/>
      <c r="F247" s="32"/>
      <c r="G247" s="32"/>
      <c r="H247" s="35"/>
      <c r="I247" s="50"/>
      <c r="J247" s="35"/>
      <c r="K247" s="41"/>
      <c r="L247" s="44"/>
      <c r="M247" s="27">
        <v>46116</v>
      </c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3">
        <f t="shared" ref="AS247:AS249" si="29">SUM(N247:AR247)</f>
        <v>0</v>
      </c>
      <c r="AV247" s="5"/>
      <c r="AW247" s="5"/>
    </row>
    <row r="248" spans="1:49" ht="15.75" customHeight="1">
      <c r="A248" s="47"/>
      <c r="B248" s="35"/>
      <c r="C248" s="35"/>
      <c r="D248" s="32"/>
      <c r="E248" s="32"/>
      <c r="F248" s="32"/>
      <c r="G248" s="32"/>
      <c r="H248" s="35"/>
      <c r="I248" s="50"/>
      <c r="J248" s="35"/>
      <c r="K248" s="41"/>
      <c r="L248" s="44"/>
      <c r="M248" s="22" t="s">
        <v>78</v>
      </c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3">
        <f t="shared" si="29"/>
        <v>0</v>
      </c>
      <c r="AV248" s="5"/>
      <c r="AW248" s="5"/>
    </row>
    <row r="249" spans="1:49" ht="15.75" customHeight="1">
      <c r="A249" s="47"/>
      <c r="B249" s="35"/>
      <c r="C249" s="35"/>
      <c r="D249" s="32"/>
      <c r="E249" s="32"/>
      <c r="F249" s="32"/>
      <c r="G249" s="32"/>
      <c r="H249" s="35"/>
      <c r="I249" s="50"/>
      <c r="J249" s="35"/>
      <c r="K249" s="41"/>
      <c r="L249" s="44"/>
      <c r="M249" s="27">
        <v>46174</v>
      </c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30"/>
      <c r="AN249" s="28"/>
      <c r="AO249" s="28"/>
      <c r="AP249" s="28"/>
      <c r="AQ249" s="28"/>
      <c r="AR249" s="28"/>
      <c r="AS249" s="23">
        <f t="shared" si="29"/>
        <v>0</v>
      </c>
      <c r="AV249" s="5"/>
      <c r="AW249" s="5"/>
    </row>
    <row r="250" spans="1:49" ht="15.75" customHeight="1">
      <c r="A250" s="47"/>
      <c r="B250" s="35"/>
      <c r="C250" s="35"/>
      <c r="D250" s="32"/>
      <c r="E250" s="32"/>
      <c r="F250" s="32"/>
      <c r="G250" s="32"/>
      <c r="H250" s="35"/>
      <c r="I250" s="50"/>
      <c r="J250" s="35"/>
      <c r="K250" s="41"/>
      <c r="L250" s="44"/>
      <c r="M250" s="22">
        <v>46204</v>
      </c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30"/>
      <c r="AN250" s="21"/>
      <c r="AO250" s="21"/>
      <c r="AP250" s="21"/>
      <c r="AQ250" s="21"/>
      <c r="AR250" s="21"/>
      <c r="AS250" s="23">
        <f>SUM(N250:AR250)</f>
        <v>0</v>
      </c>
      <c r="AV250" s="5"/>
      <c r="AW250" s="5"/>
    </row>
    <row r="251" spans="1:49" ht="15.75" customHeight="1">
      <c r="A251" s="47"/>
      <c r="B251" s="35"/>
      <c r="C251" s="35"/>
      <c r="D251" s="32"/>
      <c r="E251" s="32"/>
      <c r="F251" s="32"/>
      <c r="G251" s="32"/>
      <c r="H251" s="35"/>
      <c r="I251" s="50"/>
      <c r="J251" s="35"/>
      <c r="K251" s="41"/>
      <c r="L251" s="44"/>
      <c r="M251" s="22">
        <v>46235</v>
      </c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30"/>
      <c r="AN251" s="21"/>
      <c r="AO251" s="21"/>
      <c r="AP251" s="21"/>
      <c r="AQ251" s="21"/>
      <c r="AR251" s="21"/>
      <c r="AS251" s="23">
        <f>SUM(N251:AR251)</f>
        <v>0</v>
      </c>
      <c r="AV251" s="5"/>
      <c r="AW251" s="5"/>
    </row>
    <row r="252" spans="1:49" ht="15.75" customHeight="1">
      <c r="A252" s="47"/>
      <c r="B252" s="35"/>
      <c r="C252" s="35"/>
      <c r="D252" s="32"/>
      <c r="E252" s="32"/>
      <c r="F252" s="32"/>
      <c r="G252" s="32"/>
      <c r="H252" s="35"/>
      <c r="I252" s="50"/>
      <c r="J252" s="35"/>
      <c r="K252" s="41"/>
      <c r="L252" s="44"/>
      <c r="M252" s="22">
        <v>46266</v>
      </c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3">
        <f>SUM(N252:AQ252)</f>
        <v>0</v>
      </c>
      <c r="AV252" s="5"/>
      <c r="AW252" s="5"/>
    </row>
    <row r="253" spans="1:49" ht="15.75" customHeight="1">
      <c r="A253" s="48"/>
      <c r="B253" s="36"/>
      <c r="C253" s="36"/>
      <c r="D253" s="33"/>
      <c r="E253" s="33"/>
      <c r="F253" s="33"/>
      <c r="G253" s="33"/>
      <c r="H253" s="36"/>
      <c r="I253" s="51"/>
      <c r="J253" s="36"/>
      <c r="K253" s="42"/>
      <c r="L253" s="45"/>
      <c r="M253" s="22">
        <v>46296</v>
      </c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29">
        <f>SUM(N253:AR253)</f>
        <v>0</v>
      </c>
      <c r="AV253" s="5"/>
      <c r="AW253" s="5"/>
    </row>
    <row r="254" spans="1:49" ht="15.75" customHeight="1">
      <c r="A254" s="46">
        <v>32</v>
      </c>
      <c r="B254" s="34" t="s">
        <v>58</v>
      </c>
      <c r="C254" s="34" t="s">
        <v>59</v>
      </c>
      <c r="D254" s="31">
        <v>0.30555555555555552</v>
      </c>
      <c r="E254" s="31">
        <v>0.40972222222222227</v>
      </c>
      <c r="F254" s="31"/>
      <c r="G254" s="31"/>
      <c r="H254" s="34" t="s">
        <v>76</v>
      </c>
      <c r="I254" s="49" t="s">
        <v>93</v>
      </c>
      <c r="J254" s="34" t="s">
        <v>21</v>
      </c>
      <c r="K254" s="40" t="s">
        <v>22</v>
      </c>
      <c r="L254" s="43" t="s">
        <v>23</v>
      </c>
      <c r="M254" s="27">
        <v>46082</v>
      </c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3">
        <f>SUM(N254:AR254)</f>
        <v>0</v>
      </c>
      <c r="AV254" s="5"/>
      <c r="AW254" s="5"/>
    </row>
    <row r="255" spans="1:49" ht="15.75" customHeight="1">
      <c r="A255" s="47"/>
      <c r="B255" s="35"/>
      <c r="C255" s="35"/>
      <c r="D255" s="32"/>
      <c r="E255" s="32"/>
      <c r="F255" s="32"/>
      <c r="G255" s="32"/>
      <c r="H255" s="35"/>
      <c r="I255" s="50"/>
      <c r="J255" s="35"/>
      <c r="K255" s="41"/>
      <c r="L255" s="44"/>
      <c r="M255" s="27">
        <v>46116</v>
      </c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3">
        <f t="shared" ref="AS255:AS257" si="30">SUM(N255:AR255)</f>
        <v>0</v>
      </c>
      <c r="AV255" s="5"/>
      <c r="AW255" s="5"/>
    </row>
    <row r="256" spans="1:49" ht="15.75" customHeight="1">
      <c r="A256" s="47"/>
      <c r="B256" s="35"/>
      <c r="C256" s="35"/>
      <c r="D256" s="32"/>
      <c r="E256" s="32"/>
      <c r="F256" s="32"/>
      <c r="G256" s="32"/>
      <c r="H256" s="35"/>
      <c r="I256" s="50"/>
      <c r="J256" s="35"/>
      <c r="K256" s="41"/>
      <c r="L256" s="44"/>
      <c r="M256" s="22" t="s">
        <v>78</v>
      </c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3">
        <f t="shared" si="30"/>
        <v>0</v>
      </c>
      <c r="AV256" s="5"/>
      <c r="AW256" s="5"/>
    </row>
    <row r="257" spans="1:49" ht="15.75" customHeight="1">
      <c r="A257" s="47"/>
      <c r="B257" s="35"/>
      <c r="C257" s="35"/>
      <c r="D257" s="32"/>
      <c r="E257" s="32"/>
      <c r="F257" s="32"/>
      <c r="G257" s="32"/>
      <c r="H257" s="35"/>
      <c r="I257" s="50"/>
      <c r="J257" s="35"/>
      <c r="K257" s="41"/>
      <c r="L257" s="44"/>
      <c r="M257" s="27">
        <v>46174</v>
      </c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30"/>
      <c r="AN257" s="28"/>
      <c r="AO257" s="28"/>
      <c r="AP257" s="28"/>
      <c r="AQ257" s="28"/>
      <c r="AR257" s="28"/>
      <c r="AS257" s="23">
        <f t="shared" si="30"/>
        <v>0</v>
      </c>
      <c r="AV257" s="5"/>
      <c r="AW257" s="5"/>
    </row>
    <row r="258" spans="1:49" ht="15.75" customHeight="1">
      <c r="A258" s="47"/>
      <c r="B258" s="35"/>
      <c r="C258" s="35"/>
      <c r="D258" s="32"/>
      <c r="E258" s="32"/>
      <c r="F258" s="32"/>
      <c r="G258" s="32"/>
      <c r="H258" s="35"/>
      <c r="I258" s="50"/>
      <c r="J258" s="35"/>
      <c r="K258" s="41"/>
      <c r="L258" s="44"/>
      <c r="M258" s="22">
        <v>46204</v>
      </c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30"/>
      <c r="AN258" s="21"/>
      <c r="AO258" s="21"/>
      <c r="AP258" s="21"/>
      <c r="AQ258" s="21"/>
      <c r="AR258" s="21"/>
      <c r="AS258" s="23">
        <f>SUM(N258:AR258)</f>
        <v>0</v>
      </c>
      <c r="AV258" s="5"/>
      <c r="AW258" s="5"/>
    </row>
    <row r="259" spans="1:49" ht="15.75" customHeight="1">
      <c r="A259" s="47"/>
      <c r="B259" s="35"/>
      <c r="C259" s="35"/>
      <c r="D259" s="32"/>
      <c r="E259" s="32"/>
      <c r="F259" s="32"/>
      <c r="G259" s="32"/>
      <c r="H259" s="35"/>
      <c r="I259" s="50"/>
      <c r="J259" s="35"/>
      <c r="K259" s="41"/>
      <c r="L259" s="44"/>
      <c r="M259" s="22">
        <v>46235</v>
      </c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30"/>
      <c r="AN259" s="21"/>
      <c r="AO259" s="21"/>
      <c r="AP259" s="21"/>
      <c r="AQ259" s="21"/>
      <c r="AR259" s="21"/>
      <c r="AS259" s="23">
        <f>SUM(N259:AR259)</f>
        <v>0</v>
      </c>
      <c r="AV259" s="5"/>
      <c r="AW259" s="5"/>
    </row>
    <row r="260" spans="1:49" ht="15.75" customHeight="1">
      <c r="A260" s="47"/>
      <c r="B260" s="35"/>
      <c r="C260" s="35"/>
      <c r="D260" s="32"/>
      <c r="E260" s="32"/>
      <c r="F260" s="32"/>
      <c r="G260" s="32"/>
      <c r="H260" s="35"/>
      <c r="I260" s="50"/>
      <c r="J260" s="35"/>
      <c r="K260" s="41"/>
      <c r="L260" s="44"/>
      <c r="M260" s="22">
        <v>46266</v>
      </c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3">
        <f>SUM(N260:AQ260)</f>
        <v>0</v>
      </c>
      <c r="AV260" s="5"/>
      <c r="AW260" s="5"/>
    </row>
    <row r="261" spans="1:49" ht="15.75" customHeight="1">
      <c r="A261" s="48"/>
      <c r="B261" s="36"/>
      <c r="C261" s="36"/>
      <c r="D261" s="33"/>
      <c r="E261" s="33"/>
      <c r="F261" s="33"/>
      <c r="G261" s="33"/>
      <c r="H261" s="36"/>
      <c r="I261" s="51"/>
      <c r="J261" s="36"/>
      <c r="K261" s="42"/>
      <c r="L261" s="45"/>
      <c r="M261" s="22">
        <v>46296</v>
      </c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29">
        <f>SUM(N261:AR261)</f>
        <v>0</v>
      </c>
      <c r="AV261" s="5"/>
      <c r="AW261" s="5"/>
    </row>
    <row r="262" spans="1:49" ht="15.75" customHeight="1"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V262" s="5"/>
      <c r="AW262" s="5"/>
    </row>
    <row r="263" spans="1:49" ht="15.75" customHeight="1"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V263" s="5"/>
      <c r="AW263" s="5"/>
    </row>
    <row r="264" spans="1:49" ht="15.75" customHeight="1"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V264" s="5"/>
      <c r="AW264" s="5"/>
    </row>
    <row r="265" spans="1:49" ht="15.75" customHeight="1"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V265" s="5"/>
      <c r="AW265" s="5"/>
    </row>
    <row r="266" spans="1:49" ht="15.75" customHeight="1">
      <c r="A266" s="15" t="s">
        <v>60</v>
      </c>
      <c r="D266" s="19" t="s">
        <v>61</v>
      </c>
      <c r="E266" s="20" t="s">
        <v>62</v>
      </c>
      <c r="F266" t="s">
        <v>63</v>
      </c>
      <c r="H266" t="s">
        <v>63</v>
      </c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V266" s="5"/>
      <c r="AW266" s="5"/>
    </row>
    <row r="267" spans="1:49" ht="15.75" customHeight="1">
      <c r="D267" s="19" t="s">
        <v>65</v>
      </c>
      <c r="E267" s="20" t="s">
        <v>62</v>
      </c>
      <c r="F267" t="s">
        <v>66</v>
      </c>
      <c r="H267" t="s">
        <v>66</v>
      </c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K267" s="16" t="s">
        <v>64</v>
      </c>
      <c r="AV267" s="5"/>
      <c r="AW267" s="5"/>
    </row>
    <row r="268" spans="1:49" ht="15.75" customHeight="1">
      <c r="D268" s="19" t="s">
        <v>67</v>
      </c>
      <c r="E268" s="20" t="s">
        <v>62</v>
      </c>
      <c r="F268" t="s">
        <v>68</v>
      </c>
      <c r="H268" t="s">
        <v>68</v>
      </c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K268" s="16"/>
      <c r="AV268" s="5"/>
      <c r="AW268" s="5"/>
    </row>
    <row r="269" spans="1:49" ht="15.75" customHeight="1"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K269" s="17" t="s">
        <v>69</v>
      </c>
      <c r="AV269" s="5"/>
      <c r="AW269" s="5"/>
    </row>
    <row r="270" spans="1:49" ht="15.75" customHeight="1"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K270" s="17" t="s">
        <v>70</v>
      </c>
      <c r="AV270" s="5"/>
      <c r="AW270" s="5"/>
    </row>
    <row r="271" spans="1:49" ht="15.75" customHeight="1"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K271" s="16"/>
      <c r="AV271" s="5"/>
      <c r="AW271" s="5"/>
    </row>
    <row r="272" spans="1:49" ht="15.75" customHeight="1"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K272" s="16"/>
      <c r="AV272" s="5"/>
      <c r="AW272" s="5"/>
    </row>
    <row r="273" spans="13:49" ht="15.75" customHeight="1"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K273" s="16"/>
      <c r="AV273" s="5"/>
      <c r="AW273" s="5"/>
    </row>
    <row r="274" spans="13:49" ht="15.75" customHeight="1"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K274" s="16"/>
      <c r="AV274" s="5"/>
      <c r="AW274" s="5"/>
    </row>
    <row r="275" spans="13:49" ht="15.75" customHeight="1"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K275" s="18" t="s">
        <v>71</v>
      </c>
      <c r="AV275" s="5"/>
      <c r="AW275" s="5"/>
    </row>
    <row r="276" spans="13:49" ht="15.75" customHeight="1"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K276" s="16" t="s">
        <v>72</v>
      </c>
      <c r="AV276" s="5"/>
      <c r="AW276" s="5"/>
    </row>
    <row r="277" spans="13:49" ht="15.75" customHeight="1"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V277" s="5"/>
      <c r="AW277" s="5"/>
    </row>
    <row r="278" spans="13:49" ht="15.75" customHeight="1"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V278" s="5"/>
      <c r="AW278" s="5"/>
    </row>
    <row r="279" spans="13:49" ht="15.75" customHeight="1"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V279" s="5"/>
      <c r="AW279" s="5"/>
    </row>
    <row r="280" spans="13:49" ht="15.75" customHeight="1"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V280" s="5"/>
      <c r="AW280" s="5"/>
    </row>
    <row r="281" spans="13:49" ht="15.75" customHeight="1"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V281" s="5"/>
      <c r="AW281" s="5"/>
    </row>
    <row r="282" spans="13:49" ht="15.75" customHeight="1"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V282" s="5"/>
      <c r="AW282" s="5"/>
    </row>
    <row r="283" spans="13:49" ht="15.75" customHeight="1"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V283" s="5"/>
      <c r="AW283" s="5"/>
    </row>
    <row r="284" spans="13:49" ht="15.75" customHeight="1"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V284" s="5"/>
      <c r="AW284" s="5"/>
    </row>
    <row r="285" spans="13:49" ht="15.75" customHeight="1"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V285" s="5"/>
      <c r="AW285" s="5"/>
    </row>
    <row r="286" spans="13:49" ht="15.75" customHeight="1"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V286" s="5"/>
      <c r="AW286" s="5"/>
    </row>
    <row r="287" spans="13:49" ht="15.75" customHeight="1"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V287" s="5"/>
      <c r="AW287" s="5"/>
    </row>
    <row r="288" spans="13:49" ht="15.75" customHeight="1"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V288" s="5"/>
      <c r="AW288" s="5"/>
    </row>
    <row r="289" spans="13:49" ht="15.75" customHeight="1"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V289" s="5"/>
      <c r="AW289" s="5"/>
    </row>
    <row r="290" spans="13:49" ht="15.75" customHeight="1"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V290" s="5"/>
      <c r="AW290" s="5"/>
    </row>
    <row r="291" spans="13:49" ht="15.75" customHeight="1"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V291" s="5"/>
      <c r="AW291" s="5"/>
    </row>
    <row r="292" spans="13:49" ht="15.75" customHeight="1"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V292" s="5"/>
      <c r="AW292" s="5"/>
    </row>
    <row r="293" spans="13:49" ht="15.75" customHeight="1"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V293" s="5"/>
      <c r="AW293" s="5"/>
    </row>
    <row r="294" spans="13:49" ht="15.75" customHeight="1"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V294" s="5"/>
      <c r="AW294" s="5"/>
    </row>
    <row r="295" spans="13:49" ht="15.75" customHeight="1"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V295" s="5"/>
      <c r="AW295" s="5"/>
    </row>
    <row r="296" spans="13:49" ht="15.75" customHeight="1"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V296" s="5"/>
      <c r="AW296" s="5"/>
    </row>
    <row r="297" spans="13:49" ht="15.75" customHeight="1"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V297" s="5"/>
      <c r="AW297" s="5"/>
    </row>
    <row r="298" spans="13:49" ht="15.75" customHeight="1"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V298" s="5"/>
      <c r="AW298" s="5"/>
    </row>
    <row r="299" spans="13:49" ht="15.75" customHeight="1"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V299" s="5"/>
      <c r="AW299" s="5"/>
    </row>
    <row r="300" spans="13:49" ht="15.75" customHeight="1"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V300" s="5"/>
      <c r="AW300" s="5"/>
    </row>
    <row r="301" spans="13:49" ht="15.75" customHeight="1"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V301" s="5"/>
      <c r="AW301" s="5"/>
    </row>
    <row r="302" spans="13:49" ht="15.75" customHeight="1"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V302" s="5"/>
      <c r="AW302" s="5"/>
    </row>
    <row r="303" spans="13:49" ht="15.75" customHeight="1"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V303" s="5"/>
      <c r="AW303" s="5"/>
    </row>
    <row r="304" spans="13:49" ht="15.75" customHeight="1"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V304" s="5"/>
      <c r="AW304" s="5"/>
    </row>
    <row r="305" spans="13:49" ht="15.75" customHeight="1"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V305" s="5"/>
      <c r="AW305" s="5"/>
    </row>
    <row r="306" spans="13:49" ht="15.75" customHeight="1"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V306" s="5"/>
      <c r="AW306" s="5"/>
    </row>
    <row r="307" spans="13:49" ht="15.75" customHeight="1"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V307" s="5"/>
      <c r="AW307" s="5"/>
    </row>
    <row r="308" spans="13:49" ht="15.75" customHeight="1"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V308" s="5"/>
      <c r="AW308" s="5"/>
    </row>
    <row r="309" spans="13:49" ht="15.75" customHeight="1"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V309" s="5"/>
      <c r="AW309" s="5"/>
    </row>
    <row r="310" spans="13:49" ht="15" customHeight="1"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</row>
    <row r="311" spans="13:49" ht="15" customHeight="1"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</row>
    <row r="312" spans="13:49" ht="15" customHeight="1"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</row>
    <row r="313" spans="13:49" ht="15" customHeight="1"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</row>
    <row r="314" spans="13:49" ht="15" customHeight="1"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</row>
    <row r="315" spans="13:49" ht="15" customHeight="1"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</row>
    <row r="316" spans="13:49" ht="15" customHeight="1"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</row>
    <row r="317" spans="13:49" ht="15" customHeight="1"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</row>
    <row r="318" spans="13:49" ht="15" customHeight="1"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</row>
  </sheetData>
  <mergeCells count="399">
    <mergeCell ref="A230:A237"/>
    <mergeCell ref="A238:A245"/>
    <mergeCell ref="A246:A253"/>
    <mergeCell ref="A254:A261"/>
    <mergeCell ref="H246:H253"/>
    <mergeCell ref="I246:I253"/>
    <mergeCell ref="J246:J253"/>
    <mergeCell ref="K246:K253"/>
    <mergeCell ref="L246:L253"/>
    <mergeCell ref="B254:B261"/>
    <mergeCell ref="C254:C261"/>
    <mergeCell ref="D254:D261"/>
    <mergeCell ref="E254:E261"/>
    <mergeCell ref="H254:H261"/>
    <mergeCell ref="I254:I261"/>
    <mergeCell ref="J254:J261"/>
    <mergeCell ref="K254:K261"/>
    <mergeCell ref="L254:L261"/>
    <mergeCell ref="B238:B245"/>
    <mergeCell ref="C238:C245"/>
    <mergeCell ref="D238:D245"/>
    <mergeCell ref="E238:E245"/>
    <mergeCell ref="H238:H245"/>
    <mergeCell ref="I238:I245"/>
    <mergeCell ref="J238:J245"/>
    <mergeCell ref="K238:K245"/>
    <mergeCell ref="L238:L245"/>
    <mergeCell ref="B230:B237"/>
    <mergeCell ref="C230:C237"/>
    <mergeCell ref="D230:D237"/>
    <mergeCell ref="E230:E237"/>
    <mergeCell ref="H230:H237"/>
    <mergeCell ref="I230:I237"/>
    <mergeCell ref="J230:J237"/>
    <mergeCell ref="K230:K237"/>
    <mergeCell ref="L230:L237"/>
    <mergeCell ref="F230:F237"/>
    <mergeCell ref="G230:G237"/>
    <mergeCell ref="F238:F245"/>
    <mergeCell ref="G238:G245"/>
    <mergeCell ref="K222:K229"/>
    <mergeCell ref="L222:L229"/>
    <mergeCell ref="A214:A221"/>
    <mergeCell ref="B214:B221"/>
    <mergeCell ref="C214:C221"/>
    <mergeCell ref="D214:D221"/>
    <mergeCell ref="E214:E221"/>
    <mergeCell ref="H214:H221"/>
    <mergeCell ref="I214:I221"/>
    <mergeCell ref="J214:J221"/>
    <mergeCell ref="K214:K221"/>
    <mergeCell ref="L214:L221"/>
    <mergeCell ref="D222:D229"/>
    <mergeCell ref="E222:E229"/>
    <mergeCell ref="H222:H229"/>
    <mergeCell ref="I222:I229"/>
    <mergeCell ref="J222:J229"/>
    <mergeCell ref="F222:F229"/>
    <mergeCell ref="G222:G229"/>
    <mergeCell ref="A206:A213"/>
    <mergeCell ref="B206:B213"/>
    <mergeCell ref="C206:C213"/>
    <mergeCell ref="D206:D213"/>
    <mergeCell ref="E206:E213"/>
    <mergeCell ref="H206:H213"/>
    <mergeCell ref="I206:I213"/>
    <mergeCell ref="J206:J213"/>
    <mergeCell ref="K206:K213"/>
    <mergeCell ref="L184:L191"/>
    <mergeCell ref="A198:A205"/>
    <mergeCell ref="B198:B205"/>
    <mergeCell ref="C198:C205"/>
    <mergeCell ref="D198:D205"/>
    <mergeCell ref="E198:E205"/>
    <mergeCell ref="H198:H205"/>
    <mergeCell ref="I198:I205"/>
    <mergeCell ref="J198:J205"/>
    <mergeCell ref="K198:K205"/>
    <mergeCell ref="L198:L205"/>
    <mergeCell ref="A184:A191"/>
    <mergeCell ref="B184:B191"/>
    <mergeCell ref="C184:C191"/>
    <mergeCell ref="D184:D191"/>
    <mergeCell ref="E184:E191"/>
    <mergeCell ref="H184:H191"/>
    <mergeCell ref="I184:I191"/>
    <mergeCell ref="J184:J191"/>
    <mergeCell ref="K184:K191"/>
    <mergeCell ref="B192:B197"/>
    <mergeCell ref="C192:C197"/>
    <mergeCell ref="D192:D197"/>
    <mergeCell ref="E192:E197"/>
    <mergeCell ref="B160:B167"/>
    <mergeCell ref="D160:D167"/>
    <mergeCell ref="E160:E167"/>
    <mergeCell ref="A160:A167"/>
    <mergeCell ref="C168:C175"/>
    <mergeCell ref="H168:H175"/>
    <mergeCell ref="I168:I175"/>
    <mergeCell ref="J168:J175"/>
    <mergeCell ref="K168:K175"/>
    <mergeCell ref="A168:A175"/>
    <mergeCell ref="B168:B175"/>
    <mergeCell ref="D168:D175"/>
    <mergeCell ref="E168:E175"/>
    <mergeCell ref="C176:C183"/>
    <mergeCell ref="D176:D183"/>
    <mergeCell ref="E176:E183"/>
    <mergeCell ref="H176:H183"/>
    <mergeCell ref="I176:I183"/>
    <mergeCell ref="J176:J183"/>
    <mergeCell ref="K176:K183"/>
    <mergeCell ref="L176:L183"/>
    <mergeCell ref="C160:C167"/>
    <mergeCell ref="H160:H167"/>
    <mergeCell ref="I160:I167"/>
    <mergeCell ref="J160:J167"/>
    <mergeCell ref="K160:K167"/>
    <mergeCell ref="L160:L167"/>
    <mergeCell ref="L168:L175"/>
    <mergeCell ref="F160:F167"/>
    <mergeCell ref="G160:G167"/>
    <mergeCell ref="F168:F175"/>
    <mergeCell ref="G168:G175"/>
    <mergeCell ref="F176:F183"/>
    <mergeCell ref="G176:G183"/>
    <mergeCell ref="J144:J151"/>
    <mergeCell ref="K144:K151"/>
    <mergeCell ref="A152:A159"/>
    <mergeCell ref="B152:B159"/>
    <mergeCell ref="C152:C159"/>
    <mergeCell ref="D152:D159"/>
    <mergeCell ref="E152:E159"/>
    <mergeCell ref="H152:H159"/>
    <mergeCell ref="I152:I159"/>
    <mergeCell ref="J152:J159"/>
    <mergeCell ref="K152:K159"/>
    <mergeCell ref="A144:A151"/>
    <mergeCell ref="B144:B151"/>
    <mergeCell ref="C144:C151"/>
    <mergeCell ref="D144:D151"/>
    <mergeCell ref="E144:E151"/>
    <mergeCell ref="H144:H151"/>
    <mergeCell ref="I144:I151"/>
    <mergeCell ref="F144:F151"/>
    <mergeCell ref="G144:G151"/>
    <mergeCell ref="F152:F159"/>
    <mergeCell ref="G152:G159"/>
    <mergeCell ref="K128:K135"/>
    <mergeCell ref="L128:L135"/>
    <mergeCell ref="A128:A135"/>
    <mergeCell ref="B128:B135"/>
    <mergeCell ref="D128:D135"/>
    <mergeCell ref="E128:E135"/>
    <mergeCell ref="A136:A143"/>
    <mergeCell ref="B136:B143"/>
    <mergeCell ref="C136:C143"/>
    <mergeCell ref="D136:D143"/>
    <mergeCell ref="E136:E143"/>
    <mergeCell ref="H136:H143"/>
    <mergeCell ref="I136:I143"/>
    <mergeCell ref="J136:J143"/>
    <mergeCell ref="K136:K143"/>
    <mergeCell ref="F128:F135"/>
    <mergeCell ref="G128:G135"/>
    <mergeCell ref="F136:F143"/>
    <mergeCell ref="G136:G143"/>
    <mergeCell ref="K112:K119"/>
    <mergeCell ref="L112:L119"/>
    <mergeCell ref="A112:A119"/>
    <mergeCell ref="C120:C127"/>
    <mergeCell ref="H120:H127"/>
    <mergeCell ref="I120:I127"/>
    <mergeCell ref="J120:J127"/>
    <mergeCell ref="K120:K127"/>
    <mergeCell ref="L120:L127"/>
    <mergeCell ref="A120:A127"/>
    <mergeCell ref="B120:B127"/>
    <mergeCell ref="D120:D127"/>
    <mergeCell ref="E120:E127"/>
    <mergeCell ref="B112:B119"/>
    <mergeCell ref="C112:C119"/>
    <mergeCell ref="D112:D119"/>
    <mergeCell ref="E112:E119"/>
    <mergeCell ref="H112:H119"/>
    <mergeCell ref="I112:I119"/>
    <mergeCell ref="J112:J119"/>
    <mergeCell ref="F112:F119"/>
    <mergeCell ref="G112:G119"/>
    <mergeCell ref="F120:F127"/>
    <mergeCell ref="G120:G127"/>
    <mergeCell ref="L96:L103"/>
    <mergeCell ref="A104:A111"/>
    <mergeCell ref="B104:B111"/>
    <mergeCell ref="C104:C111"/>
    <mergeCell ref="D104:D111"/>
    <mergeCell ref="E104:E111"/>
    <mergeCell ref="H104:H111"/>
    <mergeCell ref="I104:I111"/>
    <mergeCell ref="J104:J111"/>
    <mergeCell ref="K104:K111"/>
    <mergeCell ref="L104:L111"/>
    <mergeCell ref="A96:A103"/>
    <mergeCell ref="B96:B103"/>
    <mergeCell ref="C96:C103"/>
    <mergeCell ref="D96:D103"/>
    <mergeCell ref="E96:E103"/>
    <mergeCell ref="H96:H103"/>
    <mergeCell ref="I96:I103"/>
    <mergeCell ref="J96:J103"/>
    <mergeCell ref="K96:K103"/>
    <mergeCell ref="F96:F103"/>
    <mergeCell ref="G96:G103"/>
    <mergeCell ref="F104:F111"/>
    <mergeCell ref="G104:G111"/>
    <mergeCell ref="L80:L87"/>
    <mergeCell ref="A88:A95"/>
    <mergeCell ref="B88:B95"/>
    <mergeCell ref="C88:C95"/>
    <mergeCell ref="D88:D95"/>
    <mergeCell ref="E88:E95"/>
    <mergeCell ref="H88:H95"/>
    <mergeCell ref="I88:I95"/>
    <mergeCell ref="J88:J95"/>
    <mergeCell ref="K88:K95"/>
    <mergeCell ref="L88:L95"/>
    <mergeCell ref="A80:A87"/>
    <mergeCell ref="B80:B87"/>
    <mergeCell ref="C80:C87"/>
    <mergeCell ref="D80:D87"/>
    <mergeCell ref="E80:E87"/>
    <mergeCell ref="H80:H87"/>
    <mergeCell ref="I80:I87"/>
    <mergeCell ref="J80:J87"/>
    <mergeCell ref="K80:K87"/>
    <mergeCell ref="A64:A71"/>
    <mergeCell ref="B64:B71"/>
    <mergeCell ref="C64:C71"/>
    <mergeCell ref="D64:D71"/>
    <mergeCell ref="E64:E71"/>
    <mergeCell ref="H64:H71"/>
    <mergeCell ref="I64:I71"/>
    <mergeCell ref="J64:J71"/>
    <mergeCell ref="K64:K71"/>
    <mergeCell ref="K48:K55"/>
    <mergeCell ref="L48:L55"/>
    <mergeCell ref="A56:A63"/>
    <mergeCell ref="B56:B63"/>
    <mergeCell ref="C56:C63"/>
    <mergeCell ref="D56:D63"/>
    <mergeCell ref="E56:E63"/>
    <mergeCell ref="H56:H63"/>
    <mergeCell ref="I56:I63"/>
    <mergeCell ref="J56:J63"/>
    <mergeCell ref="K56:K63"/>
    <mergeCell ref="L56:L63"/>
    <mergeCell ref="A48:A55"/>
    <mergeCell ref="B48:B55"/>
    <mergeCell ref="C48:C55"/>
    <mergeCell ref="D48:D55"/>
    <mergeCell ref="E48:E55"/>
    <mergeCell ref="H48:H55"/>
    <mergeCell ref="I48:I55"/>
    <mergeCell ref="J48:J55"/>
    <mergeCell ref="F48:F55"/>
    <mergeCell ref="G48:G55"/>
    <mergeCell ref="F56:F63"/>
    <mergeCell ref="I32:I39"/>
    <mergeCell ref="J32:J39"/>
    <mergeCell ref="K32:K39"/>
    <mergeCell ref="A40:A47"/>
    <mergeCell ref="B40:B47"/>
    <mergeCell ref="C40:C47"/>
    <mergeCell ref="D40:D47"/>
    <mergeCell ref="E40:E47"/>
    <mergeCell ref="H40:H47"/>
    <mergeCell ref="I40:I47"/>
    <mergeCell ref="J40:J47"/>
    <mergeCell ref="K40:K47"/>
    <mergeCell ref="C16:C23"/>
    <mergeCell ref="D16:D23"/>
    <mergeCell ref="E16:E23"/>
    <mergeCell ref="H16:H23"/>
    <mergeCell ref="I16:I23"/>
    <mergeCell ref="J16:J23"/>
    <mergeCell ref="K16:K23"/>
    <mergeCell ref="L32:L39"/>
    <mergeCell ref="A24:A31"/>
    <mergeCell ref="B24:B31"/>
    <mergeCell ref="C24:C31"/>
    <mergeCell ref="D24:D31"/>
    <mergeCell ref="E24:E31"/>
    <mergeCell ref="H24:H31"/>
    <mergeCell ref="I24:I31"/>
    <mergeCell ref="J24:J31"/>
    <mergeCell ref="K24:K31"/>
    <mergeCell ref="L24:L31"/>
    <mergeCell ref="A32:A39"/>
    <mergeCell ref="B32:B39"/>
    <mergeCell ref="C32:C39"/>
    <mergeCell ref="D32:D39"/>
    <mergeCell ref="E32:E39"/>
    <mergeCell ref="H32:H39"/>
    <mergeCell ref="K6:K7"/>
    <mergeCell ref="A1:AT1"/>
    <mergeCell ref="A2:AT2"/>
    <mergeCell ref="A3:AT3"/>
    <mergeCell ref="A4:AT4"/>
    <mergeCell ref="A5:AT5"/>
    <mergeCell ref="B6:C6"/>
    <mergeCell ref="D6:E6"/>
    <mergeCell ref="F6:G6"/>
    <mergeCell ref="I6:J6"/>
    <mergeCell ref="N6:AR6"/>
    <mergeCell ref="A6:A7"/>
    <mergeCell ref="M6:M7"/>
    <mergeCell ref="AS6:AS7"/>
    <mergeCell ref="L6:L7"/>
    <mergeCell ref="L206:L213"/>
    <mergeCell ref="B246:B253"/>
    <mergeCell ref="C246:C253"/>
    <mergeCell ref="D246:D253"/>
    <mergeCell ref="E246:E253"/>
    <mergeCell ref="A8:A15"/>
    <mergeCell ref="B8:B15"/>
    <mergeCell ref="C8:C15"/>
    <mergeCell ref="D8:D15"/>
    <mergeCell ref="E8:E15"/>
    <mergeCell ref="H8:H15"/>
    <mergeCell ref="I8:I15"/>
    <mergeCell ref="J8:J15"/>
    <mergeCell ref="K8:K15"/>
    <mergeCell ref="L16:L23"/>
    <mergeCell ref="A222:A229"/>
    <mergeCell ref="B222:B229"/>
    <mergeCell ref="C222:C229"/>
    <mergeCell ref="A72:A79"/>
    <mergeCell ref="B72:B79"/>
    <mergeCell ref="C72:C79"/>
    <mergeCell ref="D72:D79"/>
    <mergeCell ref="E72:E79"/>
    <mergeCell ref="H72:H79"/>
    <mergeCell ref="H192:H197"/>
    <mergeCell ref="J192:J197"/>
    <mergeCell ref="I192:I197"/>
    <mergeCell ref="K192:K197"/>
    <mergeCell ref="L192:L197"/>
    <mergeCell ref="A192:A197"/>
    <mergeCell ref="L8:L15"/>
    <mergeCell ref="L136:L143"/>
    <mergeCell ref="L144:L151"/>
    <mergeCell ref="L152:L159"/>
    <mergeCell ref="A176:A183"/>
    <mergeCell ref="B176:B183"/>
    <mergeCell ref="I72:I79"/>
    <mergeCell ref="J72:J79"/>
    <mergeCell ref="C128:C135"/>
    <mergeCell ref="H128:H135"/>
    <mergeCell ref="I128:I135"/>
    <mergeCell ref="J128:J135"/>
    <mergeCell ref="K72:K79"/>
    <mergeCell ref="L72:L79"/>
    <mergeCell ref="L64:L71"/>
    <mergeCell ref="L40:L47"/>
    <mergeCell ref="A16:A23"/>
    <mergeCell ref="B16:B23"/>
    <mergeCell ref="F8:F15"/>
    <mergeCell ref="G8:G15"/>
    <mergeCell ref="F16:F23"/>
    <mergeCell ref="G16:G23"/>
    <mergeCell ref="F24:F31"/>
    <mergeCell ref="G24:G31"/>
    <mergeCell ref="F32:F39"/>
    <mergeCell ref="G32:G39"/>
    <mergeCell ref="F40:F47"/>
    <mergeCell ref="G40:G47"/>
    <mergeCell ref="G56:G63"/>
    <mergeCell ref="F64:F71"/>
    <mergeCell ref="G64:G71"/>
    <mergeCell ref="F72:F79"/>
    <mergeCell ref="G72:G79"/>
    <mergeCell ref="F80:F87"/>
    <mergeCell ref="G80:G87"/>
    <mergeCell ref="F88:F95"/>
    <mergeCell ref="G88:G95"/>
    <mergeCell ref="F246:F253"/>
    <mergeCell ref="G246:G253"/>
    <mergeCell ref="F254:F261"/>
    <mergeCell ref="G254:G261"/>
    <mergeCell ref="F184:F191"/>
    <mergeCell ref="G184:G191"/>
    <mergeCell ref="F192:F197"/>
    <mergeCell ref="G192:G197"/>
    <mergeCell ref="F198:F205"/>
    <mergeCell ref="G198:G205"/>
    <mergeCell ref="F206:F213"/>
    <mergeCell ref="G206:G213"/>
    <mergeCell ref="F214:F221"/>
    <mergeCell ref="G214:G221"/>
  </mergeCells>
  <pageMargins left="0.7" right="0.7" top="0.75" bottom="0.75" header="0" footer="0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SRG-JT_S-25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</dc:creator>
  <cp:lastModifiedBy>YOGI-PC</cp:lastModifiedBy>
  <cp:lastPrinted>2025-08-06T23:51:00Z</cp:lastPrinted>
  <dcterms:created xsi:type="dcterms:W3CDTF">2021-04-21T09:58:00Z</dcterms:created>
  <dcterms:modified xsi:type="dcterms:W3CDTF">2026-08-22T02:15:52Z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60F09F6CC6964978A511A3E97C1E8A9D_13</vt:lpwstr>
  </property>
  <property fmtid="{D5CDD505-2E9C-101B-9397-08002B2CF9AE}" pid="3" name="KSOProductBuildVer">
    <vt:lpwstr>1033-12.2.0.23196</vt:lpwstr>
  </property>
</Properties>
</file>